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ALL_ELEMENTS_1_7" sheetId="2" state="visible" r:id="rId2"/>
    <sheet name="MIGRATED_SUCCESS" sheetId="3" state="visible" r:id="rId3"/>
    <sheet name="MISSED_MIGRATIONS" sheetId="4" state="visible" r:id="rId4"/>
    <sheet name="MIGRATION_SUMMARY" sheetId="5" state="visible" r:id="rId5"/>
    <sheet name="EXCLUDED_METATYPES" sheetId="6" state="visible" r:id="rId6"/>
  </sheets>
  <definedNames>
    <definedName name="_xlnm._FilterDatabase" localSheetId="1" hidden="1">'ALL_ELEMENTS_1_7'!$A$1:$G$30</definedName>
    <definedName name="_xlnm._FilterDatabase" localSheetId="2" hidden="1">'MIGRATED_SUCCESS'!$A$1:$I$16</definedName>
    <definedName name="_xlnm._FilterDatabase" localSheetId="3" hidden="1">'MISSED_MIGRATIONS'!$A$1:$F$3</definedName>
    <definedName name="_xlnm._FilterDatabase" localSheetId="4" hidden="1">'MIGRATION_SUMMARY'!$A$1:$C$20</definedName>
    <definedName name="_xlnm._FilterDatabase" localSheetId="5" hidden="1">'EXCLUDED_METATYPES'!$A$1:$G$16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name val="Arial"/>
      <b val="1"/>
      <color rgb="00FFFFFF"/>
      <sz val="10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9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vertical="center"/>
    </xf>
    <xf numFmtId="0" fontId="3" fillId="0" borderId="0" pivotButton="0" quotePrefix="0" xfId="0"/>
    <xf numFmtId="0" fontId="3" fillId="4" borderId="0" pivotButton="0" quotePrefix="0" xfId="0"/>
    <xf numFmtId="1" fontId="3" fillId="0" borderId="0" pivotButton="0" quotePrefix="0" xfId="0"/>
    <xf numFmtId="164" fontId="3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1" t="inlineStr">
        <is>
          <t>CONFIG - fill in the two yellow cells below, save, then run:  python compare_migration.py &lt;this workbook&gt;</t>
        </is>
      </c>
    </row>
    <row r="3">
      <c r="A3" s="2" t="inlineStr">
        <is>
          <t>CATIA migration report (.xlsx):</t>
        </is>
      </c>
      <c r="B3" s="3" t="inlineStr">
        <is>
          <t>MigrationReportOfHomegrown_Claude.xlsx</t>
        </is>
      </c>
    </row>
    <row r="4">
      <c r="A4" s="2" t="inlineStr">
        <is>
          <t>SysML v2 source code (.txt/.sysml):</t>
        </is>
      </c>
      <c r="B4" s="3" t="inlineStr">
        <is>
          <t>Homegrown_generated_pilot.txt</t>
        </is>
      </c>
    </row>
    <row r="6">
      <c r="A6" s="4" t="inlineStr">
        <is>
          <t>Legend: yellow cells are the only cells you need to edit (full file paths).</t>
        </is>
      </c>
    </row>
    <row r="7">
      <c r="A7" s="4" t="inlineStr">
        <is>
          <t>Example:  C:\models\MigrationReportOfmyproject.xlsx   /   C:\models\package MyModel.txt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70" customWidth="1" min="3" max="3"/>
    <col width="44" customWidth="1" min="4" max="4"/>
    <col width="10" customWidth="1" min="5" max="5"/>
    <col width="68" customWidth="1" min="6" max="6"/>
    <col width="27" customWidth="1" min="7" max="7"/>
  </cols>
  <sheetData>
    <row r="1">
      <c r="A1" s="5" t="inlineStr">
        <is>
          <t>Element MetaType</t>
        </is>
      </c>
      <c r="B1" s="5" t="inlineStr">
        <is>
          <t>Element Name</t>
        </is>
      </c>
      <c r="C1" s="5" t="inlineStr">
        <is>
          <t>Qualified Name</t>
        </is>
      </c>
      <c r="D1" s="5" t="inlineStr">
        <is>
          <t>Element ID</t>
        </is>
      </c>
      <c r="E1" s="5" t="inlineStr">
        <is>
          <t>Kind</t>
        </is>
      </c>
      <c r="F1" s="5" t="inlineStr">
        <is>
          <t>Owner Qualified Name</t>
        </is>
      </c>
      <c r="G1" s="5" t="inlineStr">
        <is>
          <t>Applied Stereotypes</t>
        </is>
      </c>
    </row>
    <row r="2">
      <c r="A2" s="6" t="inlineStr">
        <is>
          <t>Package</t>
        </is>
      </c>
      <c r="B2" s="6" t="inlineStr">
        <is>
          <t>Homegrown_</t>
        </is>
      </c>
      <c r="C2" s="6" t="inlineStr">
        <is>
          <t>Homegrown_</t>
        </is>
      </c>
      <c r="D2" s="6" t="inlineStr">
        <is>
          <t>_2024x_3_63f0215_1784284849468_779009_4000</t>
        </is>
      </c>
      <c r="E2" s="6" t="inlineStr">
        <is>
          <t>Element</t>
        </is>
      </c>
      <c r="F2" s="6" t="inlineStr">
        <is>
          <t>Model</t>
        </is>
      </c>
      <c r="G2" s="6" t="n"/>
    </row>
    <row r="3">
      <c r="A3" s="6" t="inlineStr">
        <is>
          <t>Package</t>
        </is>
      </c>
      <c r="B3" s="6" t="inlineStr">
        <is>
          <t>Homegrown_Example1</t>
        </is>
      </c>
      <c r="C3" s="6" t="inlineStr">
        <is>
          <t>Homegrown_::Homegrown_Example1</t>
        </is>
      </c>
      <c r="D3" s="6" t="inlineStr">
        <is>
          <t>_2024x_3_63f0215_1784284216005_606458_3629</t>
        </is>
      </c>
      <c r="E3" s="6" t="inlineStr">
        <is>
          <t>Element</t>
        </is>
      </c>
      <c r="F3" s="6" t="inlineStr">
        <is>
          <t>Homegrown_</t>
        </is>
      </c>
      <c r="G3" s="6" t="n"/>
    </row>
    <row r="4">
      <c r="A4" s="6" t="inlineStr">
        <is>
          <t>Block</t>
        </is>
      </c>
      <c r="B4" s="6" t="inlineStr">
        <is>
          <t>Homegrown_Block</t>
        </is>
      </c>
      <c r="C4" s="6" t="inlineStr">
        <is>
          <t>Homegrown_::Homegrown_Example1::Homegrown_Block</t>
        </is>
      </c>
      <c r="D4" s="6" t="inlineStr">
        <is>
          <t>_2024x_3_63f0215_1784284234665_578346_3633</t>
        </is>
      </c>
      <c r="E4" s="6" t="inlineStr">
        <is>
          <t>Element</t>
        </is>
      </c>
      <c r="F4" s="6" t="inlineStr">
        <is>
          <t>Homegrown_::Homegrown_Example1</t>
        </is>
      </c>
      <c r="G4" s="6" t="inlineStr">
        <is>
          <t>Block</t>
        </is>
      </c>
    </row>
    <row r="5">
      <c r="A5" s="6" t="inlineStr">
        <is>
          <t>Proxy Port</t>
        </is>
      </c>
      <c r="B5" s="6" t="inlineStr">
        <is>
          <t>p1</t>
        </is>
      </c>
      <c r="C5" s="6" t="inlineStr">
        <is>
          <t>Homegrown_::Homegrown_Example1::Homegrown_Block::p1</t>
        </is>
      </c>
      <c r="D5" s="6" t="inlineStr">
        <is>
          <t>_2024x_3_63f0215_1784284265236_496882_3723</t>
        </is>
      </c>
      <c r="E5" s="6" t="inlineStr">
        <is>
          <t>Element</t>
        </is>
      </c>
      <c r="F5" s="6" t="inlineStr">
        <is>
          <t>Homegrown_::Homegrown_Example1::Homegrown_Block</t>
        </is>
      </c>
      <c r="G5" s="6" t="inlineStr">
        <is>
          <t>ProxyPort</t>
        </is>
      </c>
    </row>
    <row r="6">
      <c r="A6" s="6" t="inlineStr">
        <is>
          <t>Part Property</t>
        </is>
      </c>
      <c r="B6" s="6" t="inlineStr">
        <is>
          <t>homegrown_Block2</t>
        </is>
      </c>
      <c r="C6" s="6" t="inlineStr">
        <is>
          <t>Homegrown_::Homegrown_Example1::Homegrown_Block::homegrown_Block2</t>
        </is>
      </c>
      <c r="D6" s="6" t="inlineStr">
        <is>
          <t>_2024x_3_63f0215_1784284286730_412221_3762</t>
        </is>
      </c>
      <c r="E6" s="6" t="inlineStr">
        <is>
          <t>Element</t>
        </is>
      </c>
      <c r="F6" s="6" t="inlineStr">
        <is>
          <t>Homegrown_::Homegrown_Example1::Homegrown_Block</t>
        </is>
      </c>
      <c r="G6" s="6" t="inlineStr">
        <is>
          <t>PartProperty</t>
        </is>
      </c>
    </row>
    <row r="7">
      <c r="A7" s="6" t="inlineStr">
        <is>
          <t>Value Property</t>
        </is>
      </c>
      <c r="B7" s="6" t="inlineStr">
        <is>
          <t>value1</t>
        </is>
      </c>
      <c r="C7" s="6" t="inlineStr">
        <is>
          <t>Homegrown_::Homegrown_Example1::Homegrown_Block::value1</t>
        </is>
      </c>
      <c r="D7" s="6" t="inlineStr">
        <is>
          <t>_2024x_3_63f0215_1784284460212_253078_3995</t>
        </is>
      </c>
      <c r="E7" s="6" t="inlineStr">
        <is>
          <t>Element</t>
        </is>
      </c>
      <c r="F7" s="6" t="inlineStr">
        <is>
          <t>Homegrown_::Homegrown_Example1::Homegrown_Block</t>
        </is>
      </c>
      <c r="G7" s="6" t="inlineStr">
        <is>
          <t>ValueProperty</t>
        </is>
      </c>
    </row>
    <row r="8">
      <c r="A8" s="6" t="inlineStr">
        <is>
          <t>Block</t>
        </is>
      </c>
      <c r="B8" s="6" t="inlineStr">
        <is>
          <t>Homegrown_Block2</t>
        </is>
      </c>
      <c r="C8" s="6" t="inlineStr">
        <is>
          <t>Homegrown_::Homegrown_Example1::Homegrown_Block2</t>
        </is>
      </c>
      <c r="D8" s="6" t="inlineStr">
        <is>
          <t>_2024x_3_63f0215_1784284262194_675498_3692</t>
        </is>
      </c>
      <c r="E8" s="6" t="inlineStr">
        <is>
          <t>Element</t>
        </is>
      </c>
      <c r="F8" s="6" t="inlineStr">
        <is>
          <t>Homegrown_::Homegrown_Example1</t>
        </is>
      </c>
      <c r="G8" s="6" t="inlineStr">
        <is>
          <t>Block</t>
        </is>
      </c>
    </row>
    <row r="9">
      <c r="A9" s="6" t="inlineStr">
        <is>
          <t>Proxy Port</t>
        </is>
      </c>
      <c r="B9" s="6" t="inlineStr">
        <is>
          <t>p1</t>
        </is>
      </c>
      <c r="C9" s="6" t="inlineStr">
        <is>
          <t>Homegrown_::Homegrown_Example1::Homegrown_Block2::p1</t>
        </is>
      </c>
      <c r="D9" s="6" t="inlineStr">
        <is>
          <t>_2024x_3_63f0215_1784284280900_263786_3741</t>
        </is>
      </c>
      <c r="E9" s="6" t="inlineStr">
        <is>
          <t>Element</t>
        </is>
      </c>
      <c r="F9" s="6" t="inlineStr">
        <is>
          <t>Homegrown_::Homegrown_Example1::Homegrown_Block2</t>
        </is>
      </c>
      <c r="G9" s="6" t="inlineStr">
        <is>
          <t>ProxyPort</t>
        </is>
      </c>
    </row>
    <row r="10">
      <c r="A10" s="6" t="inlineStr">
        <is>
          <t>Association</t>
        </is>
      </c>
      <c r="B10" s="6" t="n"/>
      <c r="C10" s="6" t="inlineStr">
        <is>
          <t>Homegrown_::Homegrown_Example1::</t>
        </is>
      </c>
      <c r="D10" s="6" t="inlineStr">
        <is>
          <t>_2024x_3_63f0215_1784284286730_91874_3761</t>
        </is>
      </c>
      <c r="E10" s="6" t="inlineStr">
        <is>
          <t>Element</t>
        </is>
      </c>
      <c r="F10" s="6" t="inlineStr">
        <is>
          <t>Homegrown_::Homegrown_Example1</t>
        </is>
      </c>
      <c r="G10" s="6" t="n"/>
    </row>
    <row r="11">
      <c r="A11" s="6" t="inlineStr">
        <is>
          <t>Property</t>
        </is>
      </c>
      <c r="B11" s="6" t="n"/>
      <c r="C11" s="6" t="inlineStr">
        <is>
          <t>Homegrown_::Homegrown_Example1::::</t>
        </is>
      </c>
      <c r="D11" s="6" t="inlineStr">
        <is>
          <t>_2024x_3_63f0215_1784284286730_857360_3763</t>
        </is>
      </c>
      <c r="E11" s="6" t="inlineStr">
        <is>
          <t>Element</t>
        </is>
      </c>
      <c r="F11" s="6" t="inlineStr">
        <is>
          <t>Homegrown_::Homegrown_Example1::</t>
        </is>
      </c>
      <c r="G11" s="6" t="n"/>
    </row>
    <row r="12">
      <c r="A12" s="6" t="inlineStr">
        <is>
          <t>Signal</t>
        </is>
      </c>
      <c r="B12" s="6" t="inlineStr">
        <is>
          <t>Homegrown_signal</t>
        </is>
      </c>
      <c r="C12" s="6" t="inlineStr">
        <is>
          <t>Homegrown_::Homegrown_Example1::Homegrown_signal</t>
        </is>
      </c>
      <c r="D12" s="6" t="inlineStr">
        <is>
          <t>_2024x_3_63f0215_1784284314522_264673_3795</t>
        </is>
      </c>
      <c r="E12" s="6" t="inlineStr">
        <is>
          <t>Element</t>
        </is>
      </c>
      <c r="F12" s="6" t="inlineStr">
        <is>
          <t>Homegrown_::Homegrown_Example1</t>
        </is>
      </c>
      <c r="G12" s="6" t="n"/>
    </row>
    <row r="13">
      <c r="A13" s="6" t="inlineStr">
        <is>
          <t>Package</t>
        </is>
      </c>
      <c r="B13" s="6" t="inlineStr">
        <is>
          <t>Homegrown_Example3</t>
        </is>
      </c>
      <c r="C13" s="6" t="inlineStr">
        <is>
          <t>Homegrown_::Homegrown_Example3</t>
        </is>
      </c>
      <c r="D13" s="6" t="inlineStr">
        <is>
          <t>_2024x_3_63f0215_1784284225793_363190_3631</t>
        </is>
      </c>
      <c r="E13" s="6" t="inlineStr">
        <is>
          <t>Element</t>
        </is>
      </c>
      <c r="F13" s="6" t="inlineStr">
        <is>
          <t>Homegrown_</t>
        </is>
      </c>
      <c r="G13" s="6" t="n"/>
    </row>
    <row r="14">
      <c r="A14" s="6" t="inlineStr">
        <is>
          <t>Value Type</t>
        </is>
      </c>
      <c r="B14" s="6" t="inlineStr">
        <is>
          <t>Homegrown_valueType</t>
        </is>
      </c>
      <c r="C14" s="6" t="inlineStr">
        <is>
          <t>Homegrown_::Homegrown_Example3::Homegrown_valueType</t>
        </is>
      </c>
      <c r="D14" s="6" t="inlineStr">
        <is>
          <t>_2024x_3_63f0215_1784284309714_612206_3774</t>
        </is>
      </c>
      <c r="E14" s="6" t="inlineStr">
        <is>
          <t>Element</t>
        </is>
      </c>
      <c r="F14" s="6" t="inlineStr">
        <is>
          <t>Homegrown_::Homegrown_Example3</t>
        </is>
      </c>
      <c r="G14" s="6" t="inlineStr">
        <is>
          <t>ValueType</t>
        </is>
      </c>
    </row>
    <row r="15">
      <c r="A15" s="6" t="inlineStr">
        <is>
          <t>Package</t>
        </is>
      </c>
      <c r="B15" s="6" t="inlineStr">
        <is>
          <t>Homegrown_Example2</t>
        </is>
      </c>
      <c r="C15" s="6" t="inlineStr">
        <is>
          <t>Homegrown_::Homegrown_Example2</t>
        </is>
      </c>
      <c r="D15" s="6" t="inlineStr">
        <is>
          <t>_2024x_3_63f0215_1784284225569_244227_3630</t>
        </is>
      </c>
      <c r="E15" s="6" t="inlineStr">
        <is>
          <t>Element</t>
        </is>
      </c>
      <c r="F15" s="6" t="inlineStr">
        <is>
          <t>Homegrown_</t>
        </is>
      </c>
      <c r="G15" s="6" t="n"/>
    </row>
    <row r="16">
      <c r="A16" s="6" t="inlineStr">
        <is>
          <t>Activity</t>
        </is>
      </c>
      <c r="B16" s="6" t="inlineStr">
        <is>
          <t>Homegrown_Example2</t>
        </is>
      </c>
      <c r="C16" s="6" t="inlineStr">
        <is>
          <t>Homegrown_::Homegrown_Example2::Homegrown_Example2</t>
        </is>
      </c>
      <c r="D16" s="6" t="inlineStr">
        <is>
          <t>_2024x_3_63f0215_1784284340743_519051_3814</t>
        </is>
      </c>
      <c r="E16" s="6" t="inlineStr">
        <is>
          <t>Element</t>
        </is>
      </c>
      <c r="F16" s="6" t="inlineStr">
        <is>
          <t>Homegrown_::Homegrown_Example2</t>
        </is>
      </c>
      <c r="G16" s="6" t="n"/>
    </row>
    <row r="17">
      <c r="A17" s="6" t="inlineStr">
        <is>
          <t>Allocated Activity Partition</t>
        </is>
      </c>
      <c r="B17" s="6" t="n"/>
      <c r="C17" s="6" t="inlineStr">
        <is>
          <t>Homegrown_::Homegrown_Example2::Homegrown_Example2::</t>
        </is>
      </c>
      <c r="D17" s="6" t="inlineStr">
        <is>
          <t>_2024x_3_63f0215_1784284361632_215137_3842</t>
        </is>
      </c>
      <c r="E17" s="6" t="inlineStr">
        <is>
          <t>Element</t>
        </is>
      </c>
      <c r="F17" s="6" t="inlineStr">
        <is>
          <t>Homegrown_::Homegrown_Example2::Homegrown_Example2</t>
        </is>
      </c>
      <c r="G17" s="6" t="inlineStr">
        <is>
          <t>AllocateActivityPartition</t>
        </is>
      </c>
    </row>
    <row r="18">
      <c r="A18" s="6" t="inlineStr">
        <is>
          <t>Allocated Activity Partition</t>
        </is>
      </c>
      <c r="B18" s="6" t="n"/>
      <c r="C18" s="6" t="inlineStr">
        <is>
          <t>Homegrown_::Homegrown_Example2::Homegrown_Example2::</t>
        </is>
      </c>
      <c r="D18" s="6" t="inlineStr">
        <is>
          <t>_2024x_3_63f0215_1784284361642_752693_3845</t>
        </is>
      </c>
      <c r="E18" s="6" t="inlineStr">
        <is>
          <t>Element</t>
        </is>
      </c>
      <c r="F18" s="6" t="inlineStr">
        <is>
          <t>Homegrown_::Homegrown_Example2::Homegrown_Example2</t>
        </is>
      </c>
      <c r="G18" s="6" t="inlineStr">
        <is>
          <t>AllocateActivityPartition</t>
        </is>
      </c>
    </row>
    <row r="19">
      <c r="A19" s="6" t="inlineStr">
        <is>
          <t>Object Flow</t>
        </is>
      </c>
      <c r="B19" s="6" t="n"/>
      <c r="C19" s="6" t="inlineStr">
        <is>
          <t>Homegrown_::Homegrown_Example2::Homegrown_Example2::</t>
        </is>
      </c>
      <c r="D19" s="6" t="inlineStr">
        <is>
          <t>_2024x_3_63f0215_1784284377842_630201_3932</t>
        </is>
      </c>
      <c r="E19" s="6" t="inlineStr">
        <is>
          <t>Element</t>
        </is>
      </c>
      <c r="F19" s="6" t="inlineStr">
        <is>
          <t>Homegrown_::Homegrown_Example2::Homegrown_Example2</t>
        </is>
      </c>
      <c r="G19" s="6" t="n"/>
    </row>
    <row r="20">
      <c r="A20" s="6" t="inlineStr">
        <is>
          <t>Control Flow</t>
        </is>
      </c>
      <c r="B20" s="6" t="n"/>
      <c r="C20" s="6" t="inlineStr">
        <is>
          <t>Homegrown_::Homegrown_Example2::Homegrown_Example2::</t>
        </is>
      </c>
      <c r="D20" s="6" t="inlineStr">
        <is>
          <t>_2024x_3_63f0215_1784284386311_279312_3967</t>
        </is>
      </c>
      <c r="E20" s="6" t="inlineStr">
        <is>
          <t>Element</t>
        </is>
      </c>
      <c r="F20" s="6" t="inlineStr">
        <is>
          <t>Homegrown_::Homegrown_Example2::Homegrown_Example2</t>
        </is>
      </c>
      <c r="G20" s="6" t="n"/>
    </row>
    <row r="21">
      <c r="A21" s="6" t="inlineStr">
        <is>
          <t>Control Flow</t>
        </is>
      </c>
      <c r="B21" s="6" t="n"/>
      <c r="C21" s="6" t="inlineStr">
        <is>
          <t>Homegrown_::Homegrown_Example2::Homegrown_Example2::</t>
        </is>
      </c>
      <c r="D21" s="6" t="inlineStr">
        <is>
          <t>_2024x_3_63f0215_1784284396172_578710_3977</t>
        </is>
      </c>
      <c r="E21" s="6" t="inlineStr">
        <is>
          <t>Element</t>
        </is>
      </c>
      <c r="F21" s="6" t="inlineStr">
        <is>
          <t>Homegrown_::Homegrown_Example2::Homegrown_Example2</t>
        </is>
      </c>
      <c r="G21" s="6" t="n"/>
    </row>
    <row r="22">
      <c r="A22" s="6" t="inlineStr">
        <is>
          <t>Control Flow</t>
        </is>
      </c>
      <c r="B22" s="6" t="n"/>
      <c r="C22" s="6" t="inlineStr">
        <is>
          <t>Homegrown_::Homegrown_Example2::Homegrown_Example2::</t>
        </is>
      </c>
      <c r="D22" s="6" t="inlineStr">
        <is>
          <t>_2024x_3_63f0215_1784284400681_507237_3982</t>
        </is>
      </c>
      <c r="E22" s="6" t="inlineStr">
        <is>
          <t>Element</t>
        </is>
      </c>
      <c r="F22" s="6" t="inlineStr">
        <is>
          <t>Homegrown_::Homegrown_Example2::Homegrown_Example2</t>
        </is>
      </c>
      <c r="G22" s="6" t="n"/>
    </row>
    <row r="23">
      <c r="A23" s="6" t="inlineStr">
        <is>
          <t>Control Flow</t>
        </is>
      </c>
      <c r="B23" s="6" t="n"/>
      <c r="C23" s="6" t="inlineStr">
        <is>
          <t>Homegrown_::Homegrown_Example2::Homegrown_Example2::</t>
        </is>
      </c>
      <c r="D23" s="6" t="inlineStr">
        <is>
          <t>_2024x_3_63f0215_1784284407410_958678_3993</t>
        </is>
      </c>
      <c r="E23" s="6" t="inlineStr">
        <is>
          <t>Element</t>
        </is>
      </c>
      <c r="F23" s="6" t="inlineStr">
        <is>
          <t>Homegrown_::Homegrown_Example2::Homegrown_Example2</t>
        </is>
      </c>
      <c r="G23" s="6" t="n"/>
    </row>
    <row r="24">
      <c r="A24" s="6" t="inlineStr">
        <is>
          <t>Call Behavior Action</t>
        </is>
      </c>
      <c r="B24" s="6" t="inlineStr">
        <is>
          <t>Homegrown_cba1</t>
        </is>
      </c>
      <c r="C24" s="6" t="inlineStr">
        <is>
          <t>Homegrown_::Homegrown_Example2::Homegrown_Example2::Homegrown_cba1</t>
        </is>
      </c>
      <c r="D24" s="6" t="inlineStr">
        <is>
          <t>_2024x_3_63f0215_1784284367419_77834_3888</t>
        </is>
      </c>
      <c r="E24" s="6" t="inlineStr">
        <is>
          <t>Element</t>
        </is>
      </c>
      <c r="F24" s="6" t="inlineStr">
        <is>
          <t>Homegrown_::Homegrown_Example2::Homegrown_Example2</t>
        </is>
      </c>
      <c r="G24" s="6" t="n"/>
    </row>
    <row r="25">
      <c r="A25" s="6" t="inlineStr">
        <is>
          <t>Output Pin</t>
        </is>
      </c>
      <c r="B25" s="6" t="inlineStr">
        <is>
          <t>output</t>
        </is>
      </c>
      <c r="C25" s="6" t="inlineStr">
        <is>
          <t>Homegrown_::Homegrown_Example2::Homegrown_Example2::Homegrown_cba1::output</t>
        </is>
      </c>
      <c r="D25" s="6" t="inlineStr">
        <is>
          <t>_2024x_3_63f0215_1784284374735_813595_3916</t>
        </is>
      </c>
      <c r="E25" s="6" t="inlineStr">
        <is>
          <t>Element</t>
        </is>
      </c>
      <c r="F25" s="6" t="inlineStr">
        <is>
          <t>Homegrown_::Homegrown_Example2::Homegrown_Example2::Homegrown_cba1</t>
        </is>
      </c>
      <c r="G25" s="6" t="n"/>
    </row>
    <row r="26">
      <c r="A26" s="6" t="inlineStr">
        <is>
          <t>Call Behavior Action</t>
        </is>
      </c>
      <c r="B26" s="6" t="inlineStr">
        <is>
          <t>Homegrown_cba2</t>
        </is>
      </c>
      <c r="C26" s="6" t="inlineStr">
        <is>
          <t>Homegrown_::Homegrown_Example2::Homegrown_Example2::Homegrown_cba2</t>
        </is>
      </c>
      <c r="D26" s="6" t="inlineStr">
        <is>
          <t>_2024x_3_63f0215_1784284369195_804450_3902</t>
        </is>
      </c>
      <c r="E26" s="6" t="inlineStr">
        <is>
          <t>Element</t>
        </is>
      </c>
      <c r="F26" s="6" t="inlineStr">
        <is>
          <t>Homegrown_::Homegrown_Example2::Homegrown_Example2</t>
        </is>
      </c>
      <c r="G26" s="6" t="n"/>
    </row>
    <row r="27">
      <c r="A27" s="6" t="inlineStr">
        <is>
          <t>Input Pin</t>
        </is>
      </c>
      <c r="B27" s="6" t="inlineStr">
        <is>
          <t>input</t>
        </is>
      </c>
      <c r="C27" s="6" t="inlineStr">
        <is>
          <t>Homegrown_::Homegrown_Example2::Homegrown_Example2::Homegrown_cba2::input</t>
        </is>
      </c>
      <c r="D27" s="6" t="inlineStr">
        <is>
          <t>_2024x_3_63f0215_1784284377845_226603_3934</t>
        </is>
      </c>
      <c r="E27" s="6" t="inlineStr">
        <is>
          <t>Element</t>
        </is>
      </c>
      <c r="F27" s="6" t="inlineStr">
        <is>
          <t>Homegrown_::Homegrown_Example2::Homegrown_Example2::Homegrown_cba2</t>
        </is>
      </c>
      <c r="G27" s="6" t="n"/>
    </row>
    <row r="28">
      <c r="A28" s="6" t="inlineStr">
        <is>
          <t>Initial Node</t>
        </is>
      </c>
      <c r="B28" s="6" t="n"/>
      <c r="C28" s="6" t="inlineStr">
        <is>
          <t>Homegrown_::Homegrown_Example2::Homegrown_Example2::</t>
        </is>
      </c>
      <c r="D28" s="6" t="inlineStr">
        <is>
          <t>_2024x_3_63f0215_1784284384518_819029_3959</t>
        </is>
      </c>
      <c r="E28" s="6" t="inlineStr">
        <is>
          <t>Element</t>
        </is>
      </c>
      <c r="F28" s="6" t="inlineStr">
        <is>
          <t>Homegrown_::Homegrown_Example2::Homegrown_Example2</t>
        </is>
      </c>
      <c r="G28" s="6" t="n"/>
    </row>
    <row r="29">
      <c r="A29" s="6" t="inlineStr">
        <is>
          <t>Merge Node</t>
        </is>
      </c>
      <c r="B29" s="6" t="n"/>
      <c r="C29" s="6" t="inlineStr">
        <is>
          <t>Homegrown_::Homegrown_Example2::Homegrown_Example2::</t>
        </is>
      </c>
      <c r="D29" s="6" t="inlineStr">
        <is>
          <t>_2024x_3_63f0215_1784284393000_34419_3970</t>
        </is>
      </c>
      <c r="E29" s="6" t="inlineStr">
        <is>
          <t>Element</t>
        </is>
      </c>
      <c r="F29" s="6" t="inlineStr">
        <is>
          <t>Homegrown_::Homegrown_Example2::Homegrown_Example2</t>
        </is>
      </c>
      <c r="G29" s="6" t="n"/>
    </row>
    <row r="30">
      <c r="A30" s="6" t="inlineStr">
        <is>
          <t>Activity Final Node</t>
        </is>
      </c>
      <c r="B30" s="6" t="n"/>
      <c r="C30" s="6" t="inlineStr">
        <is>
          <t>Homegrown_::Homegrown_Example2::Homegrown_Example2::</t>
        </is>
      </c>
      <c r="D30" s="6" t="inlineStr">
        <is>
          <t>_2024x_3_63f0215_1784284404970_4482_3985</t>
        </is>
      </c>
      <c r="E30" s="6" t="inlineStr">
        <is>
          <t>Element</t>
        </is>
      </c>
      <c r="F30" s="6" t="inlineStr">
        <is>
          <t>Homegrown_::Homegrown_Example2::Homegrown_Example2</t>
        </is>
      </c>
      <c r="G30" s="6" t="n"/>
    </row>
  </sheetData>
  <autoFilter ref="A1:G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  <col width="68" customWidth="1" min="3" max="3"/>
    <col width="44" customWidth="1" min="4" max="4"/>
    <col width="28" customWidth="1" min="5" max="5"/>
    <col width="68" customWidth="1" min="6" max="6"/>
    <col width="12" customWidth="1" min="7" max="7"/>
    <col width="16" customWidth="1" min="8" max="8"/>
    <col width="10" customWidth="1" min="9" max="9"/>
  </cols>
  <sheetData>
    <row r="1">
      <c r="A1" s="5" t="inlineStr">
        <is>
          <t>Element MetaType (v1.7)</t>
        </is>
      </c>
      <c r="B1" s="5" t="inlineStr">
        <is>
          <t>Element Name</t>
        </is>
      </c>
      <c r="C1" s="5" t="inlineStr">
        <is>
          <t>v1.7 Qualified Name</t>
        </is>
      </c>
      <c r="D1" s="5" t="inlineStr">
        <is>
          <t>Element ID</t>
        </is>
      </c>
      <c r="E1" s="5" t="inlineStr">
        <is>
          <t>Migrated To (v2 construct)</t>
        </is>
      </c>
      <c r="F1" s="5" t="inlineStr">
        <is>
          <t>v2 Qualified Name</t>
        </is>
      </c>
      <c r="G1" s="5" t="inlineStr">
        <is>
          <t>v2 Line(s)</t>
        </is>
      </c>
      <c r="H1" s="5" t="inlineStr">
        <is>
          <t>Match Type</t>
        </is>
      </c>
      <c r="I1" s="5" t="inlineStr">
        <is>
          <t>Notes</t>
        </is>
      </c>
    </row>
    <row r="2">
      <c r="A2" s="6" t="inlineStr">
        <is>
          <t>Package</t>
        </is>
      </c>
      <c r="B2" s="6" t="inlineStr">
        <is>
          <t>Homegrown_</t>
        </is>
      </c>
      <c r="C2" s="6" t="inlineStr">
        <is>
          <t>Homegrown_</t>
        </is>
      </c>
      <c r="D2" s="6" t="inlineStr">
        <is>
          <t>_2024x_3_63f0215_1784284849468_779009_4000</t>
        </is>
      </c>
      <c r="E2" s="6" t="inlineStr">
        <is>
          <t>package</t>
        </is>
      </c>
      <c r="F2" s="6" t="inlineStr">
        <is>
          <t>Homegrown_</t>
        </is>
      </c>
      <c r="G2" s="6" t="inlineStr">
        <is>
          <t>1</t>
        </is>
      </c>
      <c r="H2" s="6" t="inlineStr">
        <is>
          <t>Qualified name</t>
        </is>
      </c>
      <c r="I2" s="6" t="inlineStr"/>
    </row>
    <row r="3">
      <c r="A3" s="6" t="inlineStr">
        <is>
          <t>Package</t>
        </is>
      </c>
      <c r="B3" s="6" t="inlineStr">
        <is>
          <t>Homegrown_Example1</t>
        </is>
      </c>
      <c r="C3" s="6" t="inlineStr">
        <is>
          <t>Homegrown_::Homegrown_Example1</t>
        </is>
      </c>
      <c r="D3" s="6" t="inlineStr">
        <is>
          <t>_2024x_3_63f0215_1784284216005_606458_3629</t>
        </is>
      </c>
      <c r="E3" s="6" t="inlineStr">
        <is>
          <t>package</t>
        </is>
      </c>
      <c r="F3" s="6" t="inlineStr">
        <is>
          <t>Homegrown_::Homegrown_Example1</t>
        </is>
      </c>
      <c r="G3" s="6" t="inlineStr">
        <is>
          <t>4</t>
        </is>
      </c>
      <c r="H3" s="6" t="inlineStr">
        <is>
          <t>Qualified name</t>
        </is>
      </c>
      <c r="I3" s="6" t="inlineStr"/>
    </row>
    <row r="4">
      <c r="A4" s="6" t="inlineStr">
        <is>
          <t>Block</t>
        </is>
      </c>
      <c r="B4" s="6" t="inlineStr">
        <is>
          <t>Homegrown_Block</t>
        </is>
      </c>
      <c r="C4" s="6" t="inlineStr">
        <is>
          <t>Homegrown_::Homegrown_Example1::Homegrown_Block</t>
        </is>
      </c>
      <c r="D4" s="6" t="inlineStr">
        <is>
          <t>_2024x_3_63f0215_1784284234665_578346_3633</t>
        </is>
      </c>
      <c r="E4" s="6" t="inlineStr">
        <is>
          <t>part def</t>
        </is>
      </c>
      <c r="F4" s="6" t="inlineStr">
        <is>
          <t>Homegrown_::Homegrown_Example1::Homegrown_Block</t>
        </is>
      </c>
      <c r="G4" s="6" t="inlineStr">
        <is>
          <t>5</t>
        </is>
      </c>
      <c r="H4" s="6" t="inlineStr">
        <is>
          <t>Qualified name</t>
        </is>
      </c>
      <c r="I4" s="6" t="inlineStr"/>
    </row>
    <row r="5">
      <c r="A5" s="6" t="inlineStr">
        <is>
          <t>Block</t>
        </is>
      </c>
      <c r="B5" s="6" t="inlineStr">
        <is>
          <t>Homegrown_Block2</t>
        </is>
      </c>
      <c r="C5" s="6" t="inlineStr">
        <is>
          <t>Homegrown_::Homegrown_Example1::Homegrown_Block2</t>
        </is>
      </c>
      <c r="D5" s="6" t="inlineStr">
        <is>
          <t>_2024x_3_63f0215_1784284262194_675498_3692</t>
        </is>
      </c>
      <c r="E5" s="6" t="inlineStr">
        <is>
          <t>part def</t>
        </is>
      </c>
      <c r="F5" s="6" t="inlineStr">
        <is>
          <t>Homegrown_::Homegrown_Example1::Homegrown_Block2</t>
        </is>
      </c>
      <c r="G5" s="6" t="inlineStr">
        <is>
          <t>10</t>
        </is>
      </c>
      <c r="H5" s="6" t="inlineStr">
        <is>
          <t>Qualified name</t>
        </is>
      </c>
      <c r="I5" s="6" t="inlineStr"/>
    </row>
    <row r="6">
      <c r="A6" s="6" t="inlineStr">
        <is>
          <t>Proxy Port</t>
        </is>
      </c>
      <c r="B6" s="6" t="inlineStr">
        <is>
          <t>p1</t>
        </is>
      </c>
      <c r="C6" s="6" t="inlineStr">
        <is>
          <t>Homegrown_::Homegrown_Example1::Homegrown_Block2::p1</t>
        </is>
      </c>
      <c r="D6" s="6" t="inlineStr">
        <is>
          <t>_2024x_3_63f0215_1784284280900_263786_3741</t>
        </is>
      </c>
      <c r="E6" s="6" t="inlineStr">
        <is>
          <t>port</t>
        </is>
      </c>
      <c r="F6" s="6" t="inlineStr">
        <is>
          <t>Homegrown_::Homegrown_Example1::Homegrown_Block2::p1</t>
        </is>
      </c>
      <c r="G6" s="6" t="inlineStr">
        <is>
          <t>11</t>
        </is>
      </c>
      <c r="H6" s="6" t="inlineStr">
        <is>
          <t>Qualified name</t>
        </is>
      </c>
      <c r="I6" s="6" t="inlineStr"/>
    </row>
    <row r="7">
      <c r="A7" s="6" t="inlineStr">
        <is>
          <t>Part Property</t>
        </is>
      </c>
      <c r="B7" s="6" t="inlineStr">
        <is>
          <t>homegrown_Block2</t>
        </is>
      </c>
      <c r="C7" s="6" t="inlineStr">
        <is>
          <t>Homegrown_::Homegrown_Example1::Homegrown_Block::homegrown_Block2</t>
        </is>
      </c>
      <c r="D7" s="6" t="inlineStr">
        <is>
          <t>_2024x_3_63f0215_1784284286730_412221_3762</t>
        </is>
      </c>
      <c r="E7" s="6" t="inlineStr">
        <is>
          <t>part</t>
        </is>
      </c>
      <c r="F7" s="6" t="inlineStr">
        <is>
          <t>Homegrown_::Homegrown_Example1::Homegrown_Block::homegrown_Block2</t>
        </is>
      </c>
      <c r="G7" s="6" t="inlineStr">
        <is>
          <t>7</t>
        </is>
      </c>
      <c r="H7" s="6" t="inlineStr">
        <is>
          <t>Qualified name</t>
        </is>
      </c>
      <c r="I7" s="6" t="inlineStr"/>
    </row>
    <row r="8">
      <c r="A8" s="6" t="inlineStr">
        <is>
          <t>Proxy Port</t>
        </is>
      </c>
      <c r="B8" s="6" t="inlineStr">
        <is>
          <t>p1</t>
        </is>
      </c>
      <c r="C8" s="6" t="inlineStr">
        <is>
          <t>Homegrown_::Homegrown_Example1::Homegrown_Block::p1</t>
        </is>
      </c>
      <c r="D8" s="6" t="inlineStr">
        <is>
          <t>_2024x_3_63f0215_1784284265236_496882_3723</t>
        </is>
      </c>
      <c r="E8" s="6" t="inlineStr">
        <is>
          <t>port</t>
        </is>
      </c>
      <c r="F8" s="6" t="inlineStr">
        <is>
          <t>Homegrown_::Homegrown_Example1::Homegrown_Block::p1</t>
        </is>
      </c>
      <c r="G8" s="6" t="inlineStr">
        <is>
          <t>6</t>
        </is>
      </c>
      <c r="H8" s="6" t="inlineStr">
        <is>
          <t>Qualified name</t>
        </is>
      </c>
      <c r="I8" s="6" t="inlineStr"/>
    </row>
    <row r="9">
      <c r="A9" s="6" t="inlineStr">
        <is>
          <t>Value Property</t>
        </is>
      </c>
      <c r="B9" s="6" t="inlineStr">
        <is>
          <t>value1</t>
        </is>
      </c>
      <c r="C9" s="6" t="inlineStr">
        <is>
          <t>Homegrown_::Homegrown_Example1::Homegrown_Block::value1</t>
        </is>
      </c>
      <c r="D9" s="6" t="inlineStr">
        <is>
          <t>_2024x_3_63f0215_1784284460212_253078_3995</t>
        </is>
      </c>
      <c r="E9" s="6" t="inlineStr">
        <is>
          <t>attribute</t>
        </is>
      </c>
      <c r="F9" s="6" t="inlineStr">
        <is>
          <t>Homegrown_::Homegrown_Example1::Homegrown_Block::value1</t>
        </is>
      </c>
      <c r="G9" s="6" t="inlineStr">
        <is>
          <t>8</t>
        </is>
      </c>
      <c r="H9" s="6" t="inlineStr">
        <is>
          <t>Qualified name</t>
        </is>
      </c>
      <c r="I9" s="6" t="inlineStr"/>
    </row>
    <row r="10">
      <c r="A10" s="6" t="inlineStr">
        <is>
          <t>Signal</t>
        </is>
      </c>
      <c r="B10" s="6" t="inlineStr">
        <is>
          <t>Homegrown_signal</t>
        </is>
      </c>
      <c r="C10" s="6" t="inlineStr">
        <is>
          <t>Homegrown_::Homegrown_Example1::Homegrown_signal</t>
        </is>
      </c>
      <c r="D10" s="6" t="inlineStr">
        <is>
          <t>_2024x_3_63f0215_1784284314522_264673_3795</t>
        </is>
      </c>
      <c r="E10" s="6" t="inlineStr">
        <is>
          <t>item def</t>
        </is>
      </c>
      <c r="F10" s="6" t="inlineStr">
        <is>
          <t>Homegrown_::Homegrown_Example1::Homegrown_signal</t>
        </is>
      </c>
      <c r="G10" s="6" t="inlineStr">
        <is>
          <t>17</t>
        </is>
      </c>
      <c r="H10" s="6" t="inlineStr">
        <is>
          <t>Qualified name</t>
        </is>
      </c>
      <c r="I10" s="6" t="inlineStr"/>
    </row>
    <row r="11">
      <c r="A11" s="6" t="inlineStr">
        <is>
          <t>Package</t>
        </is>
      </c>
      <c r="B11" s="6" t="inlineStr">
        <is>
          <t>Homegrown_Example2</t>
        </is>
      </c>
      <c r="C11" s="6" t="inlineStr">
        <is>
          <t>Homegrown_::Homegrown_Example2</t>
        </is>
      </c>
      <c r="D11" s="6" t="inlineStr">
        <is>
          <t>_2024x_3_63f0215_1784284225569_244227_3630</t>
        </is>
      </c>
      <c r="E11" s="6" t="inlineStr">
        <is>
          <t>package</t>
        </is>
      </c>
      <c r="F11" s="6" t="inlineStr">
        <is>
          <t>Homegrown_::Homegrown_Example2</t>
        </is>
      </c>
      <c r="G11" s="6" t="inlineStr">
        <is>
          <t>23</t>
        </is>
      </c>
      <c r="H11" s="6" t="inlineStr">
        <is>
          <t>Qualified name</t>
        </is>
      </c>
      <c r="I11" s="6" t="inlineStr"/>
    </row>
    <row r="12">
      <c r="A12" s="6" t="inlineStr">
        <is>
          <t>Activity</t>
        </is>
      </c>
      <c r="B12" s="6" t="inlineStr">
        <is>
          <t>Homegrown_Example2</t>
        </is>
      </c>
      <c r="C12" s="6" t="inlineStr">
        <is>
          <t>Homegrown_::Homegrown_Example2::Homegrown_Example2</t>
        </is>
      </c>
      <c r="D12" s="6" t="inlineStr">
        <is>
          <t>_2024x_3_63f0215_1784284340743_519051_3814</t>
        </is>
      </c>
      <c r="E12" s="6" t="inlineStr">
        <is>
          <t>action def</t>
        </is>
      </c>
      <c r="F12" s="6" t="inlineStr">
        <is>
          <t>Homegrown_::Homegrown_Example2::Homegrown_Example2</t>
        </is>
      </c>
      <c r="G12" s="6" t="inlineStr">
        <is>
          <t>24</t>
        </is>
      </c>
      <c r="H12" s="6" t="inlineStr">
        <is>
          <t>Qualified name</t>
        </is>
      </c>
      <c r="I12" s="6" t="inlineStr"/>
    </row>
    <row r="13">
      <c r="A13" s="6" t="inlineStr">
        <is>
          <t>Call Behavior Action</t>
        </is>
      </c>
      <c r="B13" s="6" t="inlineStr">
        <is>
          <t>Homegrown_cba1</t>
        </is>
      </c>
      <c r="C13" s="6" t="inlineStr">
        <is>
          <t>Homegrown_::Homegrown_Example2::Homegrown_Example2::Homegrown_cba1</t>
        </is>
      </c>
      <c r="D13" s="6" t="inlineStr">
        <is>
          <t>_2024x_3_63f0215_1784284367419_77834_3888</t>
        </is>
      </c>
      <c r="E13" s="6" t="inlineStr">
        <is>
          <t>action</t>
        </is>
      </c>
      <c r="F13" s="6" t="inlineStr">
        <is>
          <t>Homegrown_::Homegrown_Example2::Homegrown_Example2::Homegrown_cba1</t>
        </is>
      </c>
      <c r="G13" s="6" t="inlineStr">
        <is>
          <t>25</t>
        </is>
      </c>
      <c r="H13" s="6" t="inlineStr">
        <is>
          <t>Qualified name</t>
        </is>
      </c>
      <c r="I13" s="6" t="inlineStr"/>
    </row>
    <row r="14">
      <c r="A14" s="6" t="inlineStr">
        <is>
          <t>Call Behavior Action</t>
        </is>
      </c>
      <c r="B14" s="6" t="inlineStr">
        <is>
          <t>Homegrown_cba2</t>
        </is>
      </c>
      <c r="C14" s="6" t="inlineStr">
        <is>
          <t>Homegrown_::Homegrown_Example2::Homegrown_Example2::Homegrown_cba2</t>
        </is>
      </c>
      <c r="D14" s="6" t="inlineStr">
        <is>
          <t>_2024x_3_63f0215_1784284369195_804450_3902</t>
        </is>
      </c>
      <c r="E14" s="6" t="inlineStr">
        <is>
          <t>action</t>
        </is>
      </c>
      <c r="F14" s="6" t="inlineStr">
        <is>
          <t>Homegrown_::Homegrown_Example2::Homegrown_Example2::Homegrown_cba2</t>
        </is>
      </c>
      <c r="G14" s="6" t="inlineStr">
        <is>
          <t>29</t>
        </is>
      </c>
      <c r="H14" s="6" t="inlineStr">
        <is>
          <t>Qualified name</t>
        </is>
      </c>
      <c r="I14" s="6" t="inlineStr"/>
    </row>
    <row r="15">
      <c r="A15" s="6" t="inlineStr">
        <is>
          <t>Package</t>
        </is>
      </c>
      <c r="B15" s="6" t="inlineStr">
        <is>
          <t>Homegrown_Example3</t>
        </is>
      </c>
      <c r="C15" s="6" t="inlineStr">
        <is>
          <t>Homegrown_::Homegrown_Example3</t>
        </is>
      </c>
      <c r="D15" s="6" t="inlineStr">
        <is>
          <t>_2024x_3_63f0215_1784284225793_363190_3631</t>
        </is>
      </c>
      <c r="E15" s="6" t="inlineStr">
        <is>
          <t>package</t>
        </is>
      </c>
      <c r="F15" s="6" t="inlineStr">
        <is>
          <t>Homegrown_::Homegrown_Example3</t>
        </is>
      </c>
      <c r="G15" s="6" t="inlineStr">
        <is>
          <t>20</t>
        </is>
      </c>
      <c r="H15" s="6" t="inlineStr">
        <is>
          <t>Qualified name</t>
        </is>
      </c>
      <c r="I15" s="6" t="inlineStr"/>
    </row>
    <row r="16">
      <c r="A16" s="6" t="inlineStr">
        <is>
          <t>Value Type</t>
        </is>
      </c>
      <c r="B16" s="6" t="inlineStr">
        <is>
          <t>Homegrown_valueType</t>
        </is>
      </c>
      <c r="C16" s="6" t="inlineStr">
        <is>
          <t>Homegrown_::Homegrown_Example3::Homegrown_valueType</t>
        </is>
      </c>
      <c r="D16" s="6" t="inlineStr">
        <is>
          <t>_2024x_3_63f0215_1784284309714_612206_3774</t>
        </is>
      </c>
      <c r="E16" s="6" t="inlineStr">
        <is>
          <t>attribute def</t>
        </is>
      </c>
      <c r="F16" s="6" t="inlineStr">
        <is>
          <t>Homegrown_::Homegrown_Example3::Homegrown_valueType</t>
        </is>
      </c>
      <c r="G16" s="6" t="inlineStr">
        <is>
          <t>21</t>
        </is>
      </c>
      <c r="H16" s="6" t="inlineStr">
        <is>
          <t>Qualified name</t>
        </is>
      </c>
      <c r="I16" s="6" t="inlineStr"/>
    </row>
  </sheetData>
  <autoFilter ref="A1:I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36" customWidth="1" min="4" max="4"/>
    <col width="44" customWidth="1" min="5" max="5"/>
    <col width="70" customWidth="1" min="6" max="6"/>
  </cols>
  <sheetData>
    <row r="1">
      <c r="A1" s="5" t="inlineStr">
        <is>
          <t>Category</t>
        </is>
      </c>
      <c r="B1" s="5" t="inlineStr">
        <is>
          <t>Element MetaType (v1.7)</t>
        </is>
      </c>
      <c r="C1" s="5" t="inlineStr">
        <is>
          <t>Element Name</t>
        </is>
      </c>
      <c r="D1" s="5" t="inlineStr">
        <is>
          <t>v1.7 Qualified Name</t>
        </is>
      </c>
      <c r="E1" s="5" t="inlineStr">
        <is>
          <t>Element ID</t>
        </is>
      </c>
      <c r="F1" s="5" t="inlineStr">
        <is>
          <t>Reason</t>
        </is>
      </c>
    </row>
    <row r="2">
      <c r="A2" s="7" t="inlineStr">
        <is>
          <t>UNVERIFIABLE_UNNAMED</t>
        </is>
      </c>
      <c r="B2" s="6" t="inlineStr">
        <is>
          <t>Association</t>
        </is>
      </c>
      <c r="C2" s="6" t="inlineStr"/>
      <c r="D2" s="6" t="inlineStr">
        <is>
          <t>Homegrown_::Homegrown_Example1::</t>
        </is>
      </c>
      <c r="E2" s="6" t="inlineStr">
        <is>
          <t>_2024x_3_63f0215_1784284286730_91874_3761</t>
        </is>
      </c>
      <c r="F2" s="6" t="inlineStr">
        <is>
          <t>Unnamed in v1.7 - cannot be verified by name matching; review manually</t>
        </is>
      </c>
    </row>
    <row r="3">
      <c r="A3" s="7" t="inlineStr">
        <is>
          <t>UNVERIFIABLE_UNNAMED</t>
        </is>
      </c>
      <c r="B3" s="6" t="inlineStr">
        <is>
          <t>Property</t>
        </is>
      </c>
      <c r="C3" s="6" t="inlineStr"/>
      <c r="D3" s="6" t="inlineStr">
        <is>
          <t>Homegrown_::Homegrown_Example1::::</t>
        </is>
      </c>
      <c r="E3" s="6" t="inlineStr">
        <is>
          <t>_2024x_3_63f0215_1784284286730_857360_3763</t>
        </is>
      </c>
      <c r="F3" s="6" t="inlineStr">
        <is>
          <t>Unnamed in v1.7 - cannot be verified by name matching; review manually</t>
        </is>
      </c>
    </row>
  </sheetData>
  <autoFilter ref="A1:F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4" customWidth="1" min="2" max="2"/>
    <col width="18" customWidth="1" min="3" max="3"/>
  </cols>
  <sheetData>
    <row r="1">
      <c r="A1" s="5" t="inlineStr">
        <is>
          <t>Metric</t>
        </is>
      </c>
      <c r="B1" s="5" t="inlineStr">
        <is>
          <t>Count</t>
        </is>
      </c>
      <c r="C1" s="5" t="inlineStr">
        <is>
          <t>% of v1.7 elements</t>
        </is>
      </c>
    </row>
    <row r="2">
      <c r="A2" s="6" t="inlineStr">
        <is>
          <t>v1.7 elements + diagrams exported (ALL_ELEMENTS_1_7)</t>
        </is>
      </c>
      <c r="B2" s="8">
        <f>COUNTA(ALL_ELEMENTS_1_7!A:A)-1</f>
        <v/>
      </c>
      <c r="C2" s="9">
        <f>IFERROR(B2/$B$2,"")</f>
        <v/>
      </c>
    </row>
    <row r="3">
      <c r="A3" s="6" t="inlineStr">
        <is>
          <t xml:space="preserve">    of which diagrams</t>
        </is>
      </c>
      <c r="B3" s="8">
        <f>COUNTIF(ALL_ELEMENTS_1_7!E:E,"Diagram")</f>
        <v/>
      </c>
      <c r="C3" s="9">
        <f>IFERROR(B3/$B$2,"")</f>
        <v/>
      </c>
    </row>
    <row r="4">
      <c r="A4" s="6" t="inlineStr">
        <is>
          <t>MIGRATED_SUCCESS - matched by qualified name</t>
        </is>
      </c>
      <c r="B4" s="8">
        <f>COUNTIF(MIGRATED_SUCCESS!H:H,"Qualified name")</f>
        <v/>
      </c>
      <c r="C4" s="9">
        <f>IFERROR(B4/$B$2,"")</f>
        <v/>
      </c>
    </row>
    <row r="5">
      <c r="A5" s="6" t="inlineStr">
        <is>
          <t>MIGRATED_SUCCESS - matched by name only</t>
        </is>
      </c>
      <c r="B5" s="8">
        <f>COUNTIF(MIGRATED_SUCCESS!H:H,"Name*")</f>
        <v/>
      </c>
      <c r="C5" s="9">
        <f>IFERROR(B5/$B$2,"")</f>
        <v/>
      </c>
    </row>
    <row r="6">
      <c r="A6" s="6" t="inlineStr">
        <is>
          <t xml:space="preserve">    of which also flagged in CATIA report</t>
        </is>
      </c>
      <c r="B6" s="8">
        <f>COUNTIF(MIGRATED_SUCCESS!I:I,"*CATIA*")</f>
        <v/>
      </c>
      <c r="C6" s="9">
        <f>IFERROR(B6/$B$2,"")</f>
        <v/>
      </c>
    </row>
    <row r="7">
      <c r="A7" s="6" t="inlineStr">
        <is>
          <t>Listed in CATIA not-migrated report (excluded)</t>
        </is>
      </c>
      <c r="B7" s="8">
        <f>B2-B4-B5-B8-B9-B10</f>
        <v/>
      </c>
      <c r="C7" s="9">
        <f>IFERROR(B7/$B$2,"")</f>
        <v/>
      </c>
    </row>
    <row r="8">
      <c r="A8" s="6" t="inlineStr">
        <is>
          <t>MISSED_MIGRATIONS - MISSING</t>
        </is>
      </c>
      <c r="B8" s="8">
        <f>COUNTIF(MISSED_MIGRATIONS!A:A,"MISSING")</f>
        <v/>
      </c>
      <c r="C8" s="9">
        <f>IFERROR(B8/$B$2,"")</f>
        <v/>
      </c>
    </row>
    <row r="9">
      <c r="A9" s="6" t="inlineStr">
        <is>
          <t>MISSED_MIGRATIONS - REFERENCE_ONLY</t>
        </is>
      </c>
      <c r="B9" s="8">
        <f>COUNTIF(MISSED_MIGRATIONS!A:A,"REFERENCE_ONLY")</f>
        <v/>
      </c>
      <c r="C9" s="9">
        <f>IFERROR(B9/$B$2,"")</f>
        <v/>
      </c>
    </row>
    <row r="10">
      <c r="A10" s="6" t="inlineStr">
        <is>
          <t>MISSED_MIGRATIONS - UNVERIFIABLE_UNNAMED</t>
        </is>
      </c>
      <c r="B10" s="8">
        <f>COUNTIF(MISSED_MIGRATIONS!A:A,"UNVERIFIABLE_UNNAMED")</f>
        <v/>
      </c>
      <c r="C10" s="9">
        <f>IFERROR(B10/$B$2,"")</f>
        <v/>
      </c>
    </row>
    <row r="11">
      <c r="A11" s="6" t="inlineStr">
        <is>
          <t>Accounted for (migrated + CATIA-reported)</t>
        </is>
      </c>
      <c r="B11" s="8">
        <f>B4+B5+B7</f>
        <v/>
      </c>
      <c r="C11" s="9">
        <f>IFERROR(B11/$B$2,"")</f>
        <v/>
      </c>
    </row>
    <row r="12">
      <c r="A12" s="6" t="inlineStr"/>
      <c r="B12" s="6" t="inlineStr"/>
      <c r="C12" s="6" t="inlineStr"/>
    </row>
    <row r="13">
      <c r="A13" s="6" t="inlineStr">
        <is>
          <t>SysML v2 named declarations parsed</t>
        </is>
      </c>
      <c r="B13" s="6" t="n">
        <v>26</v>
      </c>
      <c r="C13" s="6" t="inlineStr"/>
    </row>
    <row r="14">
      <c r="A14" s="6" t="inlineStr">
        <is>
          <t>SysML v2 unnamed declarations parsed</t>
        </is>
      </c>
      <c r="B14" s="6" t="n">
        <v>0</v>
      </c>
      <c r="C14" s="6" t="inlineStr"/>
    </row>
    <row r="15">
      <c r="A15" s="6" t="inlineStr">
        <is>
          <t>CATIA report: not-migrated elements</t>
        </is>
      </c>
      <c r="B15" s="6" t="n">
        <v>14</v>
      </c>
      <c r="C15" s="6" t="inlineStr"/>
    </row>
    <row r="16">
      <c r="A16" s="6" t="inlineStr">
        <is>
          <t>CATIA report: elements with lost properties</t>
        </is>
      </c>
      <c r="B16" s="6" t="n">
        <v>2</v>
      </c>
      <c r="C16" s="6" t="inlineStr"/>
    </row>
    <row r="17">
      <c r="A17" s="6" t="inlineStr"/>
      <c r="B17" s="6" t="inlineStr"/>
      <c r="C17" s="6" t="inlineStr"/>
    </row>
    <row r="18">
      <c r="A18" s="6" t="inlineStr">
        <is>
          <t>CATIA report file</t>
        </is>
      </c>
      <c r="B18" s="6" t="inlineStr">
        <is>
          <t>MigrationReportOfHomegrown_Claude.xlsx</t>
        </is>
      </c>
      <c r="C18" s="6" t="inlineStr"/>
    </row>
    <row r="19">
      <c r="A19" s="6" t="inlineStr">
        <is>
          <t>SysML v2 source file</t>
        </is>
      </c>
      <c r="B19" s="6" t="inlineStr">
        <is>
          <t>Homegrown_generated_pilot.txt</t>
        </is>
      </c>
      <c r="C19" s="6" t="inlineStr"/>
    </row>
    <row r="20">
      <c r="A20" s="6" t="inlineStr">
        <is>
          <t>Generated</t>
        </is>
      </c>
      <c r="B20" s="6" t="inlineStr">
        <is>
          <t>2026-10-22 03:11:11</t>
        </is>
      </c>
      <c r="C20" s="6" t="inlineStr"/>
    </row>
    <row r="21">
      <c r="A21" s="10" t="inlineStr">
        <is>
          <t>Excluded from ALL metrics above (see EXCLUDED_METATYPES sheet): Boolean Tagged Value, Diagram, Element Tagged Value, Integer Tagged Value, Literal Unlimited Natural, String Tagged Value</t>
        </is>
      </c>
      <c r="B21" s="8">
        <f>MAX(COUNTA(EXCLUDED_METATYPES!A:A)-1,0)</f>
        <v/>
      </c>
    </row>
    <row r="23">
      <c r="A23" s="5" t="inlineStr">
        <is>
          <t>Element Metatype</t>
        </is>
      </c>
      <c r="B23" s="5" t="inlineStr">
        <is>
          <t>Quantity</t>
        </is>
      </c>
      <c r="C23" s="5" t="inlineStr">
        <is>
          <t>% Migration Success</t>
        </is>
      </c>
    </row>
    <row r="24">
      <c r="A24" s="6" t="inlineStr">
        <is>
          <t>Abstraction</t>
        </is>
      </c>
      <c r="B24" s="8">
        <f>COUNTIF(ALL_ELEMENTS_1_7!$A$2:$A$30,"Abstraction")</f>
        <v/>
      </c>
      <c r="C24" s="9">
        <f>IFERROR(COUNTIF(MIGRATED_SUCCESS!$A$2:$A$16,"Abstraction")/B24,"")</f>
        <v/>
      </c>
    </row>
    <row r="25">
      <c r="A25" s="6" t="inlineStr">
        <is>
          <t>Accept Event Action</t>
        </is>
      </c>
      <c r="B25" s="8">
        <f>COUNTIF(ALL_ELEMENTS_1_7!$A$2:$A$30,"Accept Event Action")</f>
        <v/>
      </c>
      <c r="C25" s="9">
        <f>IFERROR(COUNTIF(MIGRATED_SUCCESS!$A$2:$A$16,"Accept Event Action")/B25,"")</f>
        <v/>
      </c>
    </row>
    <row r="26">
      <c r="A26" s="6" t="inlineStr">
        <is>
          <t>Activity</t>
        </is>
      </c>
      <c r="B26" s="8">
        <f>COUNTIF(ALL_ELEMENTS_1_7!$A$2:$A$30,"Activity")</f>
        <v/>
      </c>
      <c r="C26" s="9">
        <f>IFERROR(COUNTIF(MIGRATED_SUCCESS!$A$2:$A$16,"Activity")/B26,"")</f>
        <v/>
      </c>
    </row>
    <row r="27">
      <c r="A27" s="6" t="inlineStr">
        <is>
          <t>Activity Final Node</t>
        </is>
      </c>
      <c r="B27" s="8">
        <f>COUNTIF(ALL_ELEMENTS_1_7!$A$2:$A$30,"Activity Final Node")</f>
        <v/>
      </c>
      <c r="C27" s="9">
        <f>IFERROR(COUNTIF(MIGRATED_SUCCESS!$A$2:$A$16,"Activity Final Node")/B27,"")</f>
        <v/>
      </c>
    </row>
    <row r="28">
      <c r="A28" s="6" t="inlineStr">
        <is>
          <t>Activity Parameter Node</t>
        </is>
      </c>
      <c r="B28" s="8">
        <f>COUNTIF(ALL_ELEMENTS_1_7!$A$2:$A$30,"Activity Parameter Node")</f>
        <v/>
      </c>
      <c r="C28" s="9">
        <f>IFERROR(COUNTIF(MIGRATED_SUCCESS!$A$2:$A$16,"Activity Parameter Node")/B28,"")</f>
        <v/>
      </c>
    </row>
    <row r="29">
      <c r="A29" s="6" t="inlineStr">
        <is>
          <t>Activity Partition</t>
        </is>
      </c>
      <c r="B29" s="8">
        <f>COUNTIF(ALL_ELEMENTS_1_7!$A$2:$A$30,"Activity Partition")</f>
        <v/>
      </c>
      <c r="C29" s="9">
        <f>IFERROR(COUNTIF(MIGRATED_SUCCESS!$A$2:$A$16,"Activity Partition")/B29,"")</f>
        <v/>
      </c>
    </row>
    <row r="30">
      <c r="A30" s="6" t="inlineStr">
        <is>
          <t>Allocate</t>
        </is>
      </c>
      <c r="B30" s="8">
        <f>COUNTIF(ALL_ELEMENTS_1_7!$A$2:$A$30,"Allocate")</f>
        <v/>
      </c>
      <c r="C30" s="9">
        <f>IFERROR(COUNTIF(MIGRATED_SUCCESS!$A$2:$A$16,"Allocate")/B30,"")</f>
        <v/>
      </c>
    </row>
    <row r="31">
      <c r="A31" s="6" t="inlineStr">
        <is>
          <t>Allocated Activity Partition</t>
        </is>
      </c>
      <c r="B31" s="8">
        <f>COUNTIF(ALL_ELEMENTS_1_7!$A$2:$A$30,"Allocated Activity Partition")</f>
        <v/>
      </c>
      <c r="C31" s="9">
        <f>IFERROR(COUNTIF(MIGRATED_SUCCESS!$A$2:$A$16,"Allocated Activity Partition")/B31,"")</f>
        <v/>
      </c>
    </row>
    <row r="32">
      <c r="A32" s="6" t="inlineStr">
        <is>
          <t>Association</t>
        </is>
      </c>
      <c r="B32" s="8">
        <f>COUNTIF(ALL_ELEMENTS_1_7!$A$2:$A$30,"Association")</f>
        <v/>
      </c>
      <c r="C32" s="9">
        <f>IFERROR(COUNTIF(MIGRATED_SUCCESS!$A$2:$A$16,"Association")/B32,"")</f>
        <v/>
      </c>
    </row>
    <row r="33">
      <c r="A33" s="6" t="inlineStr">
        <is>
          <t>Binding Connector</t>
        </is>
      </c>
      <c r="B33" s="8">
        <f>COUNTIF(ALL_ELEMENTS_1_7!$A$2:$A$30,"Binding Connector")</f>
        <v/>
      </c>
      <c r="C33" s="9">
        <f>IFERROR(COUNTIF(MIGRATED_SUCCESS!$A$2:$A$16,"Binding Connector")/B33,"")</f>
        <v/>
      </c>
    </row>
    <row r="34">
      <c r="A34" s="6" t="inlineStr">
        <is>
          <t>Block</t>
        </is>
      </c>
      <c r="B34" s="8">
        <f>COUNTIF(ALL_ELEMENTS_1_7!$A$2:$A$30,"Block")</f>
        <v/>
      </c>
      <c r="C34" s="9">
        <f>IFERROR(COUNTIF(MIGRATED_SUCCESS!$A$2:$A$16,"Block")/B34,"")</f>
        <v/>
      </c>
    </row>
    <row r="35">
      <c r="A35" s="6" t="inlineStr">
        <is>
          <t>Call Behavior Action</t>
        </is>
      </c>
      <c r="B35" s="8">
        <f>COUNTIF(ALL_ELEMENTS_1_7!$A$2:$A$30,"Call Behavior Action")</f>
        <v/>
      </c>
      <c r="C35" s="9">
        <f>IFERROR(COUNTIF(MIGRATED_SUCCESS!$A$2:$A$16,"Call Behavior Action")/B35,"")</f>
        <v/>
      </c>
    </row>
    <row r="36">
      <c r="A36" s="6" t="inlineStr">
        <is>
          <t>Comment</t>
        </is>
      </c>
      <c r="B36" s="8">
        <f>COUNTIF(ALL_ELEMENTS_1_7!$A$2:$A$30,"Comment")</f>
        <v/>
      </c>
      <c r="C36" s="9">
        <f>IFERROR(COUNTIF(MIGRATED_SUCCESS!$A$2:$A$16,"Comment")/B36,"")</f>
        <v/>
      </c>
    </row>
    <row r="37">
      <c r="A37" s="6" t="inlineStr">
        <is>
          <t>Connector</t>
        </is>
      </c>
      <c r="B37" s="8">
        <f>COUNTIF(ALL_ELEMENTS_1_7!$A$2:$A$30,"Connector")</f>
        <v/>
      </c>
      <c r="C37" s="9">
        <f>IFERROR(COUNTIF(MIGRATED_SUCCESS!$A$2:$A$16,"Connector")/B37,"")</f>
        <v/>
      </c>
    </row>
    <row r="38">
      <c r="A38" s="6" t="inlineStr">
        <is>
          <t>Connector End</t>
        </is>
      </c>
      <c r="B38" s="8">
        <f>COUNTIF(ALL_ELEMENTS_1_7!$A$2:$A$30,"Connector End")</f>
        <v/>
      </c>
      <c r="C38" s="9">
        <f>IFERROR(COUNTIF(MIGRATED_SUCCESS!$A$2:$A$16,"Connector End")/B38,"")</f>
        <v/>
      </c>
    </row>
    <row r="39">
      <c r="A39" s="6" t="inlineStr">
        <is>
          <t>Constraint</t>
        </is>
      </c>
      <c r="B39" s="8">
        <f>COUNTIF(ALL_ELEMENTS_1_7!$A$2:$A$30,"Constraint")</f>
        <v/>
      </c>
      <c r="C39" s="9">
        <f>IFERROR(COUNTIF(MIGRATED_SUCCESS!$A$2:$A$16,"Constraint")/B39,"")</f>
        <v/>
      </c>
    </row>
    <row r="40">
      <c r="A40" s="6" t="inlineStr">
        <is>
          <t>Constraint Block</t>
        </is>
      </c>
      <c r="B40" s="8">
        <f>COUNTIF(ALL_ELEMENTS_1_7!$A$2:$A$30,"Constraint Block")</f>
        <v/>
      </c>
      <c r="C40" s="9">
        <f>IFERROR(COUNTIF(MIGRATED_SUCCESS!$A$2:$A$16,"Constraint Block")/B40,"")</f>
        <v/>
      </c>
    </row>
    <row r="41">
      <c r="A41" s="6" t="inlineStr">
        <is>
          <t>Constraint Parameter</t>
        </is>
      </c>
      <c r="B41" s="8">
        <f>COUNTIF(ALL_ELEMENTS_1_7!$A$2:$A$30,"Constraint Parameter")</f>
        <v/>
      </c>
      <c r="C41" s="9">
        <f>IFERROR(COUNTIF(MIGRATED_SUCCESS!$A$2:$A$16,"Constraint Parameter")/B41,"")</f>
        <v/>
      </c>
    </row>
    <row r="42">
      <c r="A42" s="6" t="inlineStr">
        <is>
          <t>Constraint Property</t>
        </is>
      </c>
      <c r="B42" s="8">
        <f>COUNTIF(ALL_ELEMENTS_1_7!$A$2:$A$30,"Constraint Property")</f>
        <v/>
      </c>
      <c r="C42" s="9">
        <f>IFERROR(COUNTIF(MIGRATED_SUCCESS!$A$2:$A$16,"Constraint Property")/B42,"")</f>
        <v/>
      </c>
    </row>
    <row r="43">
      <c r="A43" s="6" t="inlineStr">
        <is>
          <t>Control Flow</t>
        </is>
      </c>
      <c r="B43" s="8">
        <f>COUNTIF(ALL_ELEMENTS_1_7!$A$2:$A$30,"Control Flow")</f>
        <v/>
      </c>
      <c r="C43" s="9">
        <f>IFERROR(COUNTIF(MIGRATED_SUCCESS!$A$2:$A$16,"Control Flow")/B43,"")</f>
        <v/>
      </c>
    </row>
    <row r="44">
      <c r="A44" s="6" t="inlineStr">
        <is>
          <t>Decision Node</t>
        </is>
      </c>
      <c r="B44" s="8">
        <f>COUNTIF(ALL_ELEMENTS_1_7!$A$2:$A$30,"Decision Node")</f>
        <v/>
      </c>
      <c r="C44" s="9">
        <f>IFERROR(COUNTIF(MIGRATED_SUCCESS!$A$2:$A$16,"Decision Node")/B44,"")</f>
        <v/>
      </c>
    </row>
    <row r="45">
      <c r="A45" s="6" t="inlineStr">
        <is>
          <t>Dependency</t>
        </is>
      </c>
      <c r="B45" s="8">
        <f>COUNTIF(ALL_ELEMENTS_1_7!$A$2:$A$30,"Dependency")</f>
        <v/>
      </c>
      <c r="C45" s="9">
        <f>IFERROR(COUNTIF(MIGRATED_SUCCESS!$A$2:$A$16,"Dependency")/B45,"")</f>
        <v/>
      </c>
    </row>
    <row r="46">
      <c r="A46" s="6" t="inlineStr">
        <is>
          <t>DeriveReqt</t>
        </is>
      </c>
      <c r="B46" s="8">
        <f>COUNTIF(ALL_ELEMENTS_1_7!$A$2:$A$30,"DeriveReqt")</f>
        <v/>
      </c>
      <c r="C46" s="9">
        <f>IFERROR(COUNTIF(MIGRATED_SUCCESS!$A$2:$A$16,"DeriveReqt")/B46,"")</f>
        <v/>
      </c>
    </row>
    <row r="47">
      <c r="A47" s="6" t="inlineStr">
        <is>
          <t>Element Import</t>
        </is>
      </c>
      <c r="B47" s="8">
        <f>COUNTIF(ALL_ELEMENTS_1_7!$A$2:$A$30,"Element Import")</f>
        <v/>
      </c>
      <c r="C47" s="9">
        <f>IFERROR(COUNTIF(MIGRATED_SUCCESS!$A$2:$A$16,"Element Import")/B47,"")</f>
        <v/>
      </c>
    </row>
    <row r="48">
      <c r="A48" s="6" t="inlineStr">
        <is>
          <t>Element MetaType</t>
        </is>
      </c>
      <c r="B48" s="8">
        <f>COUNTIF(ALL_ELEMENTS_1_7!$A$2:$A$30,"Element MetaType")</f>
        <v/>
      </c>
      <c r="C48" s="9">
        <f>IFERROR(COUNTIF(MIGRATED_SUCCESS!$A$2:$A$16,"Element MetaType")/B48,"")</f>
        <v/>
      </c>
    </row>
    <row r="49">
      <c r="A49" s="6" t="inlineStr">
        <is>
          <t>Final State</t>
        </is>
      </c>
      <c r="B49" s="8">
        <f>COUNTIF(ALL_ELEMENTS_1_7!$A$2:$A$30,"Final State")</f>
        <v/>
      </c>
      <c r="C49" s="9">
        <f>IFERROR(COUNTIF(MIGRATED_SUCCESS!$A$2:$A$16,"Final State")/B49,"")</f>
        <v/>
      </c>
    </row>
    <row r="50">
      <c r="A50" s="6" t="inlineStr">
        <is>
          <t>Flow Final Node</t>
        </is>
      </c>
      <c r="B50" s="8">
        <f>COUNTIF(ALL_ELEMENTS_1_7!$A$2:$A$30,"Flow Final Node")</f>
        <v/>
      </c>
      <c r="C50" s="9">
        <f>IFERROR(COUNTIF(MIGRATED_SUCCESS!$A$2:$A$16,"Flow Final Node")/B50,"")</f>
        <v/>
      </c>
    </row>
    <row r="51">
      <c r="A51" s="6" t="inlineStr">
        <is>
          <t>Flow Property</t>
        </is>
      </c>
      <c r="B51" s="8">
        <f>COUNTIF(ALL_ELEMENTS_1_7!$A$2:$A$30,"Flow Property")</f>
        <v/>
      </c>
      <c r="C51" s="9">
        <f>IFERROR(COUNTIF(MIGRATED_SUCCESS!$A$2:$A$16,"Flow Property")/B51,"")</f>
        <v/>
      </c>
    </row>
    <row r="52">
      <c r="A52" s="6" t="inlineStr">
        <is>
          <t>Fork Node</t>
        </is>
      </c>
      <c r="B52" s="8">
        <f>COUNTIF(ALL_ELEMENTS_1_7!$A$2:$A$30,"Fork Node")</f>
        <v/>
      </c>
      <c r="C52" s="9">
        <f>IFERROR(COUNTIF(MIGRATED_SUCCESS!$A$2:$A$16,"Fork Node")/B52,"")</f>
        <v/>
      </c>
    </row>
    <row r="53">
      <c r="A53" s="6" t="inlineStr">
        <is>
          <t>Functional Requirement</t>
        </is>
      </c>
      <c r="B53" s="8">
        <f>COUNTIF(ALL_ELEMENTS_1_7!$A$2:$A$30,"Functional Requirement")</f>
        <v/>
      </c>
      <c r="C53" s="9">
        <f>IFERROR(COUNTIF(MIGRATED_SUCCESS!$A$2:$A$16,"Functional Requirement")/B53,"")</f>
        <v/>
      </c>
    </row>
    <row r="54">
      <c r="A54" s="6" t="inlineStr">
        <is>
          <t>Generalization</t>
        </is>
      </c>
      <c r="B54" s="8">
        <f>COUNTIF(ALL_ELEMENTS_1_7!$A$2:$A$30,"Generalization")</f>
        <v/>
      </c>
      <c r="C54" s="9">
        <f>IFERROR(COUNTIF(MIGRATED_SUCCESS!$A$2:$A$16,"Generalization")/B54,"")</f>
        <v/>
      </c>
    </row>
    <row r="55">
      <c r="A55" s="6" t="inlineStr">
        <is>
          <t>Initial Node</t>
        </is>
      </c>
      <c r="B55" s="8">
        <f>COUNTIF(ALL_ELEMENTS_1_7!$A$2:$A$30,"Initial Node")</f>
        <v/>
      </c>
      <c r="C55" s="9">
        <f>IFERROR(COUNTIF(MIGRATED_SUCCESS!$A$2:$A$16,"Initial Node")/B55,"")</f>
        <v/>
      </c>
    </row>
    <row r="56">
      <c r="A56" s="6" t="inlineStr">
        <is>
          <t>Input Pin</t>
        </is>
      </c>
      <c r="B56" s="8">
        <f>COUNTIF(ALL_ELEMENTS_1_7!$A$2:$A$30,"Input Pin")</f>
        <v/>
      </c>
      <c r="C56" s="9">
        <f>IFERROR(COUNTIF(MIGRATED_SUCCESS!$A$2:$A$16,"Input Pin")/B56,"")</f>
        <v/>
      </c>
    </row>
    <row r="57">
      <c r="A57" s="6" t="inlineStr">
        <is>
          <t>Interface Block</t>
        </is>
      </c>
      <c r="B57" s="8">
        <f>COUNTIF(ALL_ELEMENTS_1_7!$A$2:$A$30,"Interface Block")</f>
        <v/>
      </c>
      <c r="C57" s="9">
        <f>IFERROR(COUNTIF(MIGRATED_SUCCESS!$A$2:$A$16,"Interface Block")/B57,"")</f>
        <v/>
      </c>
    </row>
    <row r="58">
      <c r="A58" s="6" t="inlineStr">
        <is>
          <t>Item Flow</t>
        </is>
      </c>
      <c r="B58" s="8">
        <f>COUNTIF(ALL_ELEMENTS_1_7!$A$2:$A$30,"Item Flow")</f>
        <v/>
      </c>
      <c r="C58" s="9">
        <f>IFERROR(COUNTIF(MIGRATED_SUCCESS!$A$2:$A$16,"Item Flow")/B58,"")</f>
        <v/>
      </c>
    </row>
    <row r="59">
      <c r="A59" s="6" t="inlineStr">
        <is>
          <t>Legend</t>
        </is>
      </c>
      <c r="B59" s="8">
        <f>COUNTIF(ALL_ELEMENTS_1_7!$A$2:$A$30,"Legend")</f>
        <v/>
      </c>
      <c r="C59" s="9">
        <f>IFERROR(COUNTIF(MIGRATED_SUCCESS!$A$2:$A$16,"Legend")/B59,"")</f>
        <v/>
      </c>
    </row>
    <row r="60">
      <c r="A60" s="6" t="inlineStr">
        <is>
          <t>Legend Item</t>
        </is>
      </c>
      <c r="B60" s="8">
        <f>COUNTIF(ALL_ELEMENTS_1_7!$A$2:$A$30,"Legend Item")</f>
        <v/>
      </c>
      <c r="C60" s="9">
        <f>IFERROR(COUNTIF(MIGRATED_SUCCESS!$A$2:$A$16,"Legend Item")/B60,"")</f>
        <v/>
      </c>
    </row>
    <row r="61">
      <c r="A61" s="6" t="inlineStr">
        <is>
          <t>Literal Integer</t>
        </is>
      </c>
      <c r="B61" s="8">
        <f>COUNTIF(ALL_ELEMENTS_1_7!$A$2:$A$30,"Literal Integer")</f>
        <v/>
      </c>
      <c r="C61" s="9">
        <f>IFERROR(COUNTIF(MIGRATED_SUCCESS!$A$2:$A$16,"Literal Integer")/B61,"")</f>
        <v/>
      </c>
    </row>
    <row r="62">
      <c r="A62" s="6" t="inlineStr">
        <is>
          <t>Merge Node</t>
        </is>
      </c>
      <c r="B62" s="8">
        <f>COUNTIF(ALL_ELEMENTS_1_7!$A$2:$A$30,"Merge Node")</f>
        <v/>
      </c>
      <c r="C62" s="9">
        <f>IFERROR(COUNTIF(MIGRATED_SUCCESS!$A$2:$A$16,"Merge Node")/B62,"")</f>
        <v/>
      </c>
    </row>
    <row r="63">
      <c r="A63" s="6" t="inlineStr">
        <is>
          <t>Object Flow</t>
        </is>
      </c>
      <c r="B63" s="8">
        <f>COUNTIF(ALL_ELEMENTS_1_7!$A$2:$A$30,"Object Flow")</f>
        <v/>
      </c>
      <c r="C63" s="9">
        <f>IFERROR(COUNTIF(MIGRATED_SUCCESS!$A$2:$A$16,"Object Flow")/B63,"")</f>
        <v/>
      </c>
    </row>
    <row r="64">
      <c r="A64" s="6" t="inlineStr">
        <is>
          <t>Opaque Expression</t>
        </is>
      </c>
      <c r="B64" s="8">
        <f>COUNTIF(ALL_ELEMENTS_1_7!$A$2:$A$30,"Opaque Expression")</f>
        <v/>
      </c>
      <c r="C64" s="9">
        <f>IFERROR(COUNTIF(MIGRATED_SUCCESS!$A$2:$A$16,"Opaque Expression")/B64,"")</f>
        <v/>
      </c>
    </row>
    <row r="65">
      <c r="A65" s="6" t="inlineStr">
        <is>
          <t>Output Pin</t>
        </is>
      </c>
      <c r="B65" s="8">
        <f>COUNTIF(ALL_ELEMENTS_1_7!$A$2:$A$30,"Output Pin")</f>
        <v/>
      </c>
      <c r="C65" s="9">
        <f>IFERROR(COUNTIF(MIGRATED_SUCCESS!$A$2:$A$16,"Output Pin")/B65,"")</f>
        <v/>
      </c>
    </row>
    <row r="66">
      <c r="A66" s="6" t="inlineStr">
        <is>
          <t>Package</t>
        </is>
      </c>
      <c r="B66" s="8">
        <f>COUNTIF(ALL_ELEMENTS_1_7!$A$2:$A$30,"Package")</f>
        <v/>
      </c>
      <c r="C66" s="9">
        <f>IFERROR(COUNTIF(MIGRATED_SUCCESS!$A$2:$A$16,"Package")/B66,"")</f>
        <v/>
      </c>
    </row>
    <row r="67">
      <c r="A67" s="6" t="inlineStr">
        <is>
          <t>Package Import</t>
        </is>
      </c>
      <c r="B67" s="8">
        <f>COUNTIF(ALL_ELEMENTS_1_7!$A$2:$A$30,"Package Import")</f>
        <v/>
      </c>
      <c r="C67" s="9">
        <f>IFERROR(COUNTIF(MIGRATED_SUCCESS!$A$2:$A$16,"Package Import")/B67,"")</f>
        <v/>
      </c>
    </row>
    <row r="68">
      <c r="A68" s="6" t="inlineStr">
        <is>
          <t>Parameter</t>
        </is>
      </c>
      <c r="B68" s="8">
        <f>COUNTIF(ALL_ELEMENTS_1_7!$A$2:$A$30,"Parameter")</f>
        <v/>
      </c>
      <c r="C68" s="9">
        <f>IFERROR(COUNTIF(MIGRATED_SUCCESS!$A$2:$A$16,"Parameter")/B68,"")</f>
        <v/>
      </c>
    </row>
    <row r="69">
      <c r="A69" s="6" t="inlineStr">
        <is>
          <t>Part Property</t>
        </is>
      </c>
      <c r="B69" s="8">
        <f>COUNTIF(ALL_ELEMENTS_1_7!$A$2:$A$30,"Part Property")</f>
        <v/>
      </c>
      <c r="C69" s="9">
        <f>IFERROR(COUNTIF(MIGRATED_SUCCESS!$A$2:$A$16,"Part Property")/B69,"")</f>
        <v/>
      </c>
    </row>
    <row r="70">
      <c r="A70" s="6" t="inlineStr">
        <is>
          <t>Profile Application</t>
        </is>
      </c>
      <c r="B70" s="8">
        <f>COUNTIF(ALL_ELEMENTS_1_7!$A$2:$A$30,"Profile Application")</f>
        <v/>
      </c>
      <c r="C70" s="9">
        <f>IFERROR(COUNTIF(MIGRATED_SUCCESS!$A$2:$A$16,"Profile Application")/B70,"")</f>
        <v/>
      </c>
    </row>
    <row r="71">
      <c r="A71" s="6" t="inlineStr">
        <is>
          <t>Property</t>
        </is>
      </c>
      <c r="B71" s="8">
        <f>COUNTIF(ALL_ELEMENTS_1_7!$A$2:$A$30,"Property")</f>
        <v/>
      </c>
      <c r="C71" s="9">
        <f>IFERROR(COUNTIF(MIGRATED_SUCCESS!$A$2:$A$16,"Property")/B71,"")</f>
        <v/>
      </c>
    </row>
    <row r="72">
      <c r="A72" s="6" t="inlineStr">
        <is>
          <t>Proxy Port</t>
        </is>
      </c>
      <c r="B72" s="8">
        <f>COUNTIF(ALL_ELEMENTS_1_7!$A$2:$A$30,"Proxy Port")</f>
        <v/>
      </c>
      <c r="C72" s="9">
        <f>IFERROR(COUNTIF(MIGRATED_SUCCESS!$A$2:$A$16,"Proxy Port")/B72,"")</f>
        <v/>
      </c>
    </row>
    <row r="73">
      <c r="A73" s="6" t="inlineStr">
        <is>
          <t>Pseudo State</t>
        </is>
      </c>
      <c r="B73" s="8">
        <f>COUNTIF(ALL_ELEMENTS_1_7!$A$2:$A$30,"Pseudo State")</f>
        <v/>
      </c>
      <c r="C73" s="9">
        <f>IFERROR(COUNTIF(MIGRATED_SUCCESS!$A$2:$A$16,"Pseudo State")/B73,"")</f>
        <v/>
      </c>
    </row>
    <row r="74">
      <c r="A74" s="6" t="inlineStr">
        <is>
          <t>Rationale</t>
        </is>
      </c>
      <c r="B74" s="8">
        <f>COUNTIF(ALL_ELEMENTS_1_7!$A$2:$A$30,"Rationale")</f>
        <v/>
      </c>
      <c r="C74" s="9">
        <f>IFERROR(COUNTIF(MIGRATED_SUCCESS!$A$2:$A$16,"Rationale")/B74,"")</f>
        <v/>
      </c>
    </row>
    <row r="75">
      <c r="A75" s="6" t="inlineStr">
        <is>
          <t>Reference Property</t>
        </is>
      </c>
      <c r="B75" s="8">
        <f>COUNTIF(ALL_ELEMENTS_1_7!$A$2:$A$30,"Reference Property")</f>
        <v/>
      </c>
      <c r="C75" s="9">
        <f>IFERROR(COUNTIF(MIGRATED_SUCCESS!$A$2:$A$16,"Reference Property")/B75,"")</f>
        <v/>
      </c>
    </row>
    <row r="76">
      <c r="A76" s="6" t="inlineStr">
        <is>
          <t>Refine</t>
        </is>
      </c>
      <c r="B76" s="8">
        <f>COUNTIF(ALL_ELEMENTS_1_7!$A$2:$A$30,"Refine")</f>
        <v/>
      </c>
      <c r="C76" s="9">
        <f>IFERROR(COUNTIF(MIGRATED_SUCCESS!$A$2:$A$16,"Refine")/B76,"")</f>
        <v/>
      </c>
    </row>
    <row r="77">
      <c r="A77" s="6" t="inlineStr">
        <is>
          <t>Region</t>
        </is>
      </c>
      <c r="B77" s="8">
        <f>COUNTIF(ALL_ELEMENTS_1_7!$A$2:$A$30,"Region")</f>
        <v/>
      </c>
      <c r="C77" s="9">
        <f>IFERROR(COUNTIF(MIGRATED_SUCCESS!$A$2:$A$16,"Region")/B77,"")</f>
        <v/>
      </c>
    </row>
    <row r="78">
      <c r="A78" s="6" t="inlineStr">
        <is>
          <t>Requirement</t>
        </is>
      </c>
      <c r="B78" s="8">
        <f>COUNTIF(ALL_ELEMENTS_1_7!$A$2:$A$30,"Requirement")</f>
        <v/>
      </c>
      <c r="C78" s="9">
        <f>IFERROR(COUNTIF(MIGRATED_SUCCESS!$A$2:$A$16,"Requirement")/B78,"")</f>
        <v/>
      </c>
    </row>
    <row r="79">
      <c r="A79" s="6" t="inlineStr">
        <is>
          <t>Satisfy</t>
        </is>
      </c>
      <c r="B79" s="8">
        <f>COUNTIF(ALL_ELEMENTS_1_7!$A$2:$A$30,"Satisfy")</f>
        <v/>
      </c>
      <c r="C79" s="9">
        <f>IFERROR(COUNTIF(MIGRATED_SUCCESS!$A$2:$A$16,"Satisfy")/B79,"")</f>
        <v/>
      </c>
    </row>
    <row r="80">
      <c r="A80" s="6" t="inlineStr">
        <is>
          <t>Send Signal Action</t>
        </is>
      </c>
      <c r="B80" s="8">
        <f>COUNTIF(ALL_ELEMENTS_1_7!$A$2:$A$30,"Send Signal Action")</f>
        <v/>
      </c>
      <c r="C80" s="9">
        <f>IFERROR(COUNTIF(MIGRATED_SUCCESS!$A$2:$A$16,"Send Signal Action")/B80,"")</f>
        <v/>
      </c>
    </row>
    <row r="81">
      <c r="A81" s="6" t="inlineStr">
        <is>
          <t>Signal</t>
        </is>
      </c>
      <c r="B81" s="8">
        <f>COUNTIF(ALL_ELEMENTS_1_7!$A$2:$A$30,"Signal")</f>
        <v/>
      </c>
      <c r="C81" s="9">
        <f>IFERROR(COUNTIF(MIGRATED_SUCCESS!$A$2:$A$16,"Signal")/B81,"")</f>
        <v/>
      </c>
    </row>
    <row r="82">
      <c r="A82" s="6" t="inlineStr">
        <is>
          <t>Signal Event</t>
        </is>
      </c>
      <c r="B82" s="8">
        <f>COUNTIF(ALL_ELEMENTS_1_7!$A$2:$A$30,"Signal Event")</f>
        <v/>
      </c>
      <c r="C82" s="9">
        <f>IFERROR(COUNTIF(MIGRATED_SUCCESS!$A$2:$A$16,"Signal Event")/B82,"")</f>
        <v/>
      </c>
    </row>
    <row r="83">
      <c r="A83" s="6" t="inlineStr">
        <is>
          <t>State</t>
        </is>
      </c>
      <c r="B83" s="8">
        <f>COUNTIF(ALL_ELEMENTS_1_7!$A$2:$A$30,"State")</f>
        <v/>
      </c>
      <c r="C83" s="9">
        <f>IFERROR(COUNTIF(MIGRATED_SUCCESS!$A$2:$A$16,"State")/B83,"")</f>
        <v/>
      </c>
    </row>
    <row r="84">
      <c r="A84" s="6" t="inlineStr">
        <is>
          <t>State Machine</t>
        </is>
      </c>
      <c r="B84" s="8">
        <f>COUNTIF(ALL_ELEMENTS_1_7!$A$2:$A$30,"State Machine")</f>
        <v/>
      </c>
      <c r="C84" s="9">
        <f>IFERROR(COUNTIF(MIGRATED_SUCCESS!$A$2:$A$16,"State Machine")/B84,"")</f>
        <v/>
      </c>
    </row>
    <row r="85">
      <c r="A85" s="6" t="inlineStr">
        <is>
          <t>Test Case</t>
        </is>
      </c>
      <c r="B85" s="8">
        <f>COUNTIF(ALL_ELEMENTS_1_7!$A$2:$A$30,"Test Case")</f>
        <v/>
      </c>
      <c r="C85" s="9">
        <f>IFERROR(COUNTIF(MIGRATED_SUCCESS!$A$2:$A$16,"Test Case")/B85,"")</f>
        <v/>
      </c>
    </row>
    <row r="86">
      <c r="A86" s="6" t="inlineStr">
        <is>
          <t>Trace</t>
        </is>
      </c>
      <c r="B86" s="8">
        <f>COUNTIF(ALL_ELEMENTS_1_7!$A$2:$A$30,"Trace")</f>
        <v/>
      </c>
      <c r="C86" s="9">
        <f>IFERROR(COUNTIF(MIGRATED_SUCCESS!$A$2:$A$16,"Trace")/B86,"")</f>
        <v/>
      </c>
    </row>
    <row r="87">
      <c r="A87" s="6" t="inlineStr">
        <is>
          <t>Transition</t>
        </is>
      </c>
      <c r="B87" s="8">
        <f>COUNTIF(ALL_ELEMENTS_1_7!$A$2:$A$30,"Transition")</f>
        <v/>
      </c>
      <c r="C87" s="9">
        <f>IFERROR(COUNTIF(MIGRATED_SUCCESS!$A$2:$A$16,"Transition")/B87,"")</f>
        <v/>
      </c>
    </row>
    <row r="88">
      <c r="A88" s="6" t="inlineStr">
        <is>
          <t>Trigger</t>
        </is>
      </c>
      <c r="B88" s="8">
        <f>COUNTIF(ALL_ELEMENTS_1_7!$A$2:$A$30,"Trigger")</f>
        <v/>
      </c>
      <c r="C88" s="9">
        <f>IFERROR(COUNTIF(MIGRATED_SUCCESS!$A$2:$A$16,"Trigger")/B88,"")</f>
        <v/>
      </c>
    </row>
    <row r="89">
      <c r="A89" s="6" t="inlineStr">
        <is>
          <t>UseCase</t>
        </is>
      </c>
      <c r="B89" s="8">
        <f>COUNTIF(ALL_ELEMENTS_1_7!$A$2:$A$30,"UseCase")</f>
        <v/>
      </c>
      <c r="C89" s="9">
        <f>IFERROR(COUNTIF(MIGRATED_SUCCESS!$A$2:$A$16,"UseCase")/B89,"")</f>
        <v/>
      </c>
    </row>
    <row r="90">
      <c r="A90" s="6" t="inlineStr">
        <is>
          <t>Value Property</t>
        </is>
      </c>
      <c r="B90" s="8">
        <f>COUNTIF(ALL_ELEMENTS_1_7!$A$2:$A$30,"Value Property")</f>
        <v/>
      </c>
      <c r="C90" s="9">
        <f>IFERROR(COUNTIF(MIGRATED_SUCCESS!$A$2:$A$16,"Value Property")/B90,"")</f>
        <v/>
      </c>
    </row>
    <row r="91">
      <c r="A91" s="6" t="inlineStr">
        <is>
          <t>Value Type</t>
        </is>
      </c>
      <c r="B91" s="8">
        <f>COUNTIF(ALL_ELEMENTS_1_7!$A$2:$A$30,"Value Type")</f>
        <v/>
      </c>
      <c r="C91" s="9">
        <f>IFERROR(COUNTIF(MIGRATED_SUCCESS!$A$2:$A$16,"Value Type")/B91,"")</f>
        <v/>
      </c>
    </row>
    <row r="92">
      <c r="A92" s="6" t="inlineStr">
        <is>
          <t>Verify</t>
        </is>
      </c>
      <c r="B92" s="8">
        <f>COUNTIF(ALL_ELEMENTS_1_7!$A$2:$A$30,"Verify")</f>
        <v/>
      </c>
      <c r="C92" s="9">
        <f>IFERROR(COUNTIF(MIGRATED_SUCCESS!$A$2:$A$16,"Verify")/B92,"")</f>
        <v/>
      </c>
    </row>
  </sheetData>
  <autoFilter ref="A1:C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70" customWidth="1" min="3" max="3"/>
    <col width="70" customWidth="1" min="4" max="4"/>
    <col width="10" customWidth="1" min="5" max="5"/>
    <col width="70" customWidth="1" min="6" max="6"/>
    <col width="21" customWidth="1" min="7" max="7"/>
  </cols>
  <sheetData>
    <row r="1">
      <c r="A1" s="5" t="inlineStr">
        <is>
          <t>Element MetaType</t>
        </is>
      </c>
      <c r="B1" s="5" t="inlineStr">
        <is>
          <t>Element Name</t>
        </is>
      </c>
      <c r="C1" s="5" t="inlineStr">
        <is>
          <t>Qualified Name</t>
        </is>
      </c>
      <c r="D1" s="5" t="inlineStr">
        <is>
          <t>Element ID</t>
        </is>
      </c>
      <c r="E1" s="5" t="inlineStr">
        <is>
          <t>Kind</t>
        </is>
      </c>
      <c r="F1" s="5" t="inlineStr">
        <is>
          <t>Owner Qualified Name</t>
        </is>
      </c>
      <c r="G1" s="5" t="inlineStr">
        <is>
          <t>Applied Stereotypes</t>
        </is>
      </c>
    </row>
    <row r="2">
      <c r="A2" s="6" t="inlineStr">
        <is>
          <t>Diagram</t>
        </is>
      </c>
      <c r="B2" s="6" t="inlineStr">
        <is>
          <t>Homegrown_Example1</t>
        </is>
      </c>
      <c r="C2" s="6" t="inlineStr">
        <is>
          <t>Homegrown_::Homegrown_Example1::Homegrown_Example1</t>
        </is>
      </c>
      <c r="D2" s="6" t="inlineStr">
        <is>
          <t>_2024x_3_63f0215_1784284257147_394270_3634</t>
        </is>
      </c>
      <c r="E2" s="6" t="inlineStr">
        <is>
          <t>Diagram</t>
        </is>
      </c>
      <c r="F2" s="6" t="inlineStr">
        <is>
          <t>Homegrown_::Homegrown_Example1</t>
        </is>
      </c>
      <c r="G2" s="6" t="inlineStr">
        <is>
          <t>DiagramInfo</t>
        </is>
      </c>
    </row>
    <row r="3">
      <c r="A3" s="6" t="inlineStr">
        <is>
          <t>String Tagged Value</t>
        </is>
      </c>
      <c r="B3" s="6" t="n"/>
      <c r="C3" s="6" t="n"/>
      <c r="D3" s="6" t="inlineStr">
        <is>
          <t>_2024x_3_63f0215_1784284257147_394270_3634_application_be00301_1073306188629_537791_2</t>
        </is>
      </c>
      <c r="E3" s="6" t="inlineStr">
        <is>
          <t>Element</t>
        </is>
      </c>
      <c r="F3" s="6" t="inlineStr">
        <is>
          <t>Homegrown_::Homegrown_Example1::Homegrown_Example1</t>
        </is>
      </c>
      <c r="G3" s="6" t="n"/>
    </row>
    <row r="4">
      <c r="A4" s="6" t="inlineStr">
        <is>
          <t>String Tagged Value</t>
        </is>
      </c>
      <c r="B4" s="6" t="n"/>
      <c r="C4" s="6" t="n"/>
      <c r="D4" s="6" t="inlineStr">
        <is>
          <t>_2024x_3_63f0215_1784284257147_394270_3634_application_be00301_1073394345322_922552_1</t>
        </is>
      </c>
      <c r="E4" s="6" t="inlineStr">
        <is>
          <t>Element</t>
        </is>
      </c>
      <c r="F4" s="6" t="inlineStr">
        <is>
          <t>Homegrown_::Homegrown_Example1::Homegrown_Example1</t>
        </is>
      </c>
      <c r="G4" s="6" t="n"/>
    </row>
    <row r="5">
      <c r="A5" s="6" t="inlineStr">
        <is>
          <t>String Tagged Value</t>
        </is>
      </c>
      <c r="B5" s="6" t="n"/>
      <c r="C5" s="6" t="n"/>
      <c r="D5" s="6" t="inlineStr">
        <is>
          <t>_2024x_3_63f0215_1784284257147_394270_3634_application_be00301_1077726770128_871366_1</t>
        </is>
      </c>
      <c r="E5" s="6" t="inlineStr">
        <is>
          <t>Element</t>
        </is>
      </c>
      <c r="F5" s="6" t="inlineStr">
        <is>
          <t>Homegrown_::Homegrown_Example1::Homegrown_Example1</t>
        </is>
      </c>
      <c r="G5" s="6" t="n"/>
    </row>
    <row r="6">
      <c r="A6" s="6" t="inlineStr">
        <is>
          <t>String Tagged Value</t>
        </is>
      </c>
      <c r="B6" s="6" t="n"/>
      <c r="C6" s="6" t="n"/>
      <c r="D6" s="6" t="inlineStr">
        <is>
          <t>_2024x_3_63f0215_1784284257147_394270_3634_application_16_8beta_8ca0285_1257244649124_794756_344</t>
        </is>
      </c>
      <c r="E6" s="6" t="inlineStr">
        <is>
          <t>Element</t>
        </is>
      </c>
      <c r="F6" s="6" t="inlineStr">
        <is>
          <t>Homegrown_::Homegrown_Example1::Homegrown_Example1</t>
        </is>
      </c>
      <c r="G6" s="6" t="n"/>
    </row>
    <row r="7">
      <c r="A7" s="6" t="inlineStr">
        <is>
          <t>Literal Unlimited Natural</t>
        </is>
      </c>
      <c r="B7" s="6" t="n"/>
      <c r="C7" s="6" t="inlineStr">
        <is>
          <t>Homegrown_::Homegrown_Example2::Homegrown_Example2::::</t>
        </is>
      </c>
      <c r="D7" s="6" t="inlineStr">
        <is>
          <t>_2024x_3_63f0215_1784284377843_714443_3933</t>
        </is>
      </c>
      <c r="E7" s="6" t="inlineStr">
        <is>
          <t>Element</t>
        </is>
      </c>
      <c r="F7" s="6" t="inlineStr">
        <is>
          <t>Homegrown_::Homegrown_Example2::Homegrown_Example2::</t>
        </is>
      </c>
      <c r="G7" s="6" t="n"/>
    </row>
    <row r="8">
      <c r="A8" s="6" t="inlineStr">
        <is>
          <t>Literal Unlimited Natural</t>
        </is>
      </c>
      <c r="B8" s="6" t="n"/>
      <c r="C8" s="6" t="inlineStr">
        <is>
          <t>Homegrown_::Homegrown_Example2::Homegrown_Example2::::</t>
        </is>
      </c>
      <c r="D8" s="6" t="inlineStr">
        <is>
          <t>_2024x_3_63f0215_1784284386312_365900_3968</t>
        </is>
      </c>
      <c r="E8" s="6" t="inlineStr">
        <is>
          <t>Element</t>
        </is>
      </c>
      <c r="F8" s="6" t="inlineStr">
        <is>
          <t>Homegrown_::Homegrown_Example2::Homegrown_Example2::</t>
        </is>
      </c>
      <c r="G8" s="6" t="n"/>
    </row>
    <row r="9">
      <c r="A9" s="6" t="inlineStr">
        <is>
          <t>Literal Unlimited Natural</t>
        </is>
      </c>
      <c r="B9" s="6" t="n"/>
      <c r="C9" s="6" t="inlineStr">
        <is>
          <t>Homegrown_::Homegrown_Example2::Homegrown_Example2::::</t>
        </is>
      </c>
      <c r="D9" s="6" t="inlineStr">
        <is>
          <t>_2024x_3_63f0215_1784284396173_189902_3978</t>
        </is>
      </c>
      <c r="E9" s="6" t="inlineStr">
        <is>
          <t>Element</t>
        </is>
      </c>
      <c r="F9" s="6" t="inlineStr">
        <is>
          <t>Homegrown_::Homegrown_Example2::Homegrown_Example2::</t>
        </is>
      </c>
      <c r="G9" s="6" t="n"/>
    </row>
    <row r="10">
      <c r="A10" s="6" t="inlineStr">
        <is>
          <t>Literal Unlimited Natural</t>
        </is>
      </c>
      <c r="B10" s="6" t="n"/>
      <c r="C10" s="6" t="inlineStr">
        <is>
          <t>Homegrown_::Homegrown_Example2::Homegrown_Example2::::</t>
        </is>
      </c>
      <c r="D10" s="6" t="inlineStr">
        <is>
          <t>_2024x_3_63f0215_1784284400681_760349_3983</t>
        </is>
      </c>
      <c r="E10" s="6" t="inlineStr">
        <is>
          <t>Element</t>
        </is>
      </c>
      <c r="F10" s="6" t="inlineStr">
        <is>
          <t>Homegrown_::Homegrown_Example2::Homegrown_Example2::</t>
        </is>
      </c>
      <c r="G10" s="6" t="n"/>
    </row>
    <row r="11">
      <c r="A11" s="6" t="inlineStr">
        <is>
          <t>Literal Unlimited Natural</t>
        </is>
      </c>
      <c r="B11" s="6" t="n"/>
      <c r="C11" s="6" t="inlineStr">
        <is>
          <t>Homegrown_::Homegrown_Example2::Homegrown_Example2::::</t>
        </is>
      </c>
      <c r="D11" s="6" t="inlineStr">
        <is>
          <t>_2024x_3_63f0215_1784284407410_9161_3994</t>
        </is>
      </c>
      <c r="E11" s="6" t="inlineStr">
        <is>
          <t>Element</t>
        </is>
      </c>
      <c r="F11" s="6" t="inlineStr">
        <is>
          <t>Homegrown_::Homegrown_Example2::Homegrown_Example2::</t>
        </is>
      </c>
      <c r="G11" s="6" t="n"/>
    </row>
    <row r="12">
      <c r="A12" s="6" t="inlineStr">
        <is>
          <t>Diagram</t>
        </is>
      </c>
      <c r="B12" s="6" t="inlineStr">
        <is>
          <t>Homegrown_Example2</t>
        </is>
      </c>
      <c r="C12" s="6" t="inlineStr">
        <is>
          <t>Homegrown_::Homegrown_Example2::Homegrown_Example2::Homegrown_Example2</t>
        </is>
      </c>
      <c r="D12" s="6" t="inlineStr">
        <is>
          <t>_2024x_3_63f0215_1784284340743_195212_3813</t>
        </is>
      </c>
      <c r="E12" s="6" t="inlineStr">
        <is>
          <t>Diagram</t>
        </is>
      </c>
      <c r="F12" s="6" t="inlineStr">
        <is>
          <t>Homegrown_::Homegrown_Example2::Homegrown_Example2</t>
        </is>
      </c>
      <c r="G12" s="6" t="inlineStr">
        <is>
          <t>DiagramInfo</t>
        </is>
      </c>
    </row>
    <row r="13">
      <c r="A13" s="6" t="inlineStr">
        <is>
          <t>String Tagged Value</t>
        </is>
      </c>
      <c r="B13" s="6" t="n"/>
      <c r="C13" s="6" t="n"/>
      <c r="D13" s="6" t="inlineStr">
        <is>
          <t>_2024x_3_63f0215_1784284340743_195212_3813_application_be00301_1073306188629_537791_2</t>
        </is>
      </c>
      <c r="E13" s="6" t="inlineStr">
        <is>
          <t>Element</t>
        </is>
      </c>
      <c r="F13" s="6" t="inlineStr">
        <is>
          <t>Homegrown_::Homegrown_Example2::Homegrown_Example2::Homegrown_Example2</t>
        </is>
      </c>
      <c r="G13" s="6" t="n"/>
    </row>
    <row r="14">
      <c r="A14" s="6" t="inlineStr">
        <is>
          <t>String Tagged Value</t>
        </is>
      </c>
      <c r="B14" s="6" t="n"/>
      <c r="C14" s="6" t="n"/>
      <c r="D14" s="6" t="inlineStr">
        <is>
          <t>_2024x_3_63f0215_1784284340743_195212_3813_application_be00301_1073394345322_922552_1</t>
        </is>
      </c>
      <c r="E14" s="6" t="inlineStr">
        <is>
          <t>Element</t>
        </is>
      </c>
      <c r="F14" s="6" t="inlineStr">
        <is>
          <t>Homegrown_::Homegrown_Example2::Homegrown_Example2::Homegrown_Example2</t>
        </is>
      </c>
      <c r="G14" s="6" t="n"/>
    </row>
    <row r="15">
      <c r="A15" s="6" t="inlineStr">
        <is>
          <t>String Tagged Value</t>
        </is>
      </c>
      <c r="B15" s="6" t="n"/>
      <c r="C15" s="6" t="n"/>
      <c r="D15" s="6" t="inlineStr">
        <is>
          <t>_2024x_3_63f0215_1784284340743_195212_3813_application_be00301_1077726770128_871366_1</t>
        </is>
      </c>
      <c r="E15" s="6" t="inlineStr">
        <is>
          <t>Element</t>
        </is>
      </c>
      <c r="F15" s="6" t="inlineStr">
        <is>
          <t>Homegrown_::Homegrown_Example2::Homegrown_Example2::Homegrown_Example2</t>
        </is>
      </c>
      <c r="G15" s="6" t="n"/>
    </row>
    <row r="16">
      <c r="A16" s="6" t="inlineStr">
        <is>
          <t>String Tagged Value</t>
        </is>
      </c>
      <c r="B16" s="6" t="n"/>
      <c r="C16" s="6" t="n"/>
      <c r="D16" s="6" t="inlineStr">
        <is>
          <t>_2024x_3_63f0215_1784284340743_195212_3813_application_16_8beta_8ca0285_1257244649124_794756_344</t>
        </is>
      </c>
      <c r="E16" s="6" t="inlineStr">
        <is>
          <t>Element</t>
        </is>
      </c>
      <c r="F16" s="6" t="inlineStr">
        <is>
          <t>Homegrown_::Homegrown_Example2::Homegrown_Example2::Homegrown_Example2</t>
        </is>
      </c>
      <c r="G16" s="6" t="n"/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2026-10-22T10:11:11Z</dcterms:created>
  <dcterms:modified xsi:type="dcterms:W3CDTF">2026-10-22T10:11:12Z</dcterms:modified>
</cp:coreProperties>
</file>